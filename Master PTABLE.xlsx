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2400F749-123E-4B74-AC14-98B5DA6BFE55}" xr6:coauthVersionLast="47" xr6:coauthVersionMax="47" xr10:uidLastSave="{00000000-0000-0000-0000-000000000000}"/>
  <bookViews>
    <workbookView xWindow="1464" yWindow="36" windowWidth="43836" windowHeight="14592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" i="2" l="1"/>
  <c r="AM109" i="2"/>
  <c r="AM110" i="2"/>
  <c r="AM111" i="2"/>
  <c r="AM112" i="2"/>
  <c r="AM113" i="2"/>
  <c r="AM114" i="2"/>
  <c r="AM115" i="2"/>
  <c r="AM116" i="2"/>
  <c r="AM117" i="2"/>
  <c r="AM118" i="2"/>
  <c r="AM119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G2" i="2"/>
  <c r="AG3" i="2"/>
  <c r="AG4" i="2"/>
  <c r="AN4" i="2" s="1"/>
  <c r="AG5" i="2"/>
  <c r="AN5" i="2" s="1"/>
  <c r="AG6" i="2"/>
  <c r="AN6" i="2" s="1"/>
  <c r="AG7" i="2"/>
  <c r="AN7" i="2" s="1"/>
  <c r="AG8" i="2"/>
  <c r="I8" i="2" s="1"/>
  <c r="AO8" i="2" s="1"/>
  <c r="AP8" i="2" s="1"/>
  <c r="AG9" i="2"/>
  <c r="AN9" i="2" s="1"/>
  <c r="AG10" i="2"/>
  <c r="AN10" i="2" s="1"/>
  <c r="AG11" i="2"/>
  <c r="AN11" i="2" s="1"/>
  <c r="AG12" i="2"/>
  <c r="I12" i="2" s="1"/>
  <c r="AR12" i="2" s="1"/>
  <c r="AG13" i="2"/>
  <c r="I13" i="2" s="1"/>
  <c r="AG14" i="2"/>
  <c r="AG15" i="2"/>
  <c r="AG16" i="2"/>
  <c r="AN16" i="2" s="1"/>
  <c r="AG17" i="2"/>
  <c r="I17" i="2" s="1"/>
  <c r="AG18" i="2"/>
  <c r="I18" i="2" s="1"/>
  <c r="AO18" i="2" s="1"/>
  <c r="AP18" i="2" s="1"/>
  <c r="AG19" i="2"/>
  <c r="AG20" i="2"/>
  <c r="AN20" i="2" s="1"/>
  <c r="AG21" i="2"/>
  <c r="AN21" i="2" s="1"/>
  <c r="AG22" i="2"/>
  <c r="I22" i="2" s="1"/>
  <c r="AI22" i="2" s="1"/>
  <c r="AG23" i="2"/>
  <c r="AG24" i="2"/>
  <c r="AG25" i="2"/>
  <c r="I25" i="2" s="1"/>
  <c r="AI25" i="2" s="1"/>
  <c r="AH25" i="2" s="1"/>
  <c r="AG26" i="2"/>
  <c r="I26" i="2" s="1"/>
  <c r="AR26" i="2" s="1"/>
  <c r="AG27" i="2"/>
  <c r="I27" i="2" s="1"/>
  <c r="AI27" i="2" s="1"/>
  <c r="AG28" i="2"/>
  <c r="I28" i="2" s="1"/>
  <c r="AG29" i="2"/>
  <c r="AG30" i="2"/>
  <c r="AG31" i="2"/>
  <c r="AG32" i="2"/>
  <c r="I32" i="2" s="1"/>
  <c r="AO32" i="2" s="1"/>
  <c r="AP32" i="2" s="1"/>
  <c r="AG33" i="2"/>
  <c r="I33" i="2" s="1"/>
  <c r="AG34" i="2"/>
  <c r="AG35" i="2"/>
  <c r="AG36" i="2"/>
  <c r="I36" i="2" s="1"/>
  <c r="AG37" i="2"/>
  <c r="AN37" i="2" s="1"/>
  <c r="AG38" i="2"/>
  <c r="I38" i="2" s="1"/>
  <c r="AI38" i="2" s="1"/>
  <c r="AG39" i="2"/>
  <c r="I39" i="2" s="1"/>
  <c r="AI39" i="2" s="1"/>
  <c r="AG40" i="2"/>
  <c r="I40" i="2" s="1"/>
  <c r="AO40" i="2" s="1"/>
  <c r="AP40" i="2" s="1"/>
  <c r="AG41" i="2"/>
  <c r="I41" i="2" s="1"/>
  <c r="AO41" i="2" s="1"/>
  <c r="AP41" i="2" s="1"/>
  <c r="AG42" i="2"/>
  <c r="AN42" i="2" s="1"/>
  <c r="AG43" i="2"/>
  <c r="AN43" i="2" s="1"/>
  <c r="AG44" i="2"/>
  <c r="AG45" i="2"/>
  <c r="AG46" i="2"/>
  <c r="AG47" i="2"/>
  <c r="AG48" i="2"/>
  <c r="AN48" i="2" s="1"/>
  <c r="AG49" i="2"/>
  <c r="AN49" i="2" s="1"/>
  <c r="AG50" i="2"/>
  <c r="AN50" i="2" s="1"/>
  <c r="AG51" i="2"/>
  <c r="AN51" i="2" s="1"/>
  <c r="AG52" i="2"/>
  <c r="I52" i="2" s="1"/>
  <c r="AG53" i="2"/>
  <c r="I53" i="2" s="1"/>
  <c r="AG54" i="2"/>
  <c r="AN54" i="2" s="1"/>
  <c r="AG55" i="2"/>
  <c r="AN55" i="2" s="1"/>
  <c r="AG56" i="2"/>
  <c r="AN56" i="2" s="1"/>
  <c r="AG57" i="2"/>
  <c r="AN57" i="2" s="1"/>
  <c r="AG58" i="2"/>
  <c r="I58" i="2" s="1"/>
  <c r="AG59" i="2"/>
  <c r="AN59" i="2" s="1"/>
  <c r="AG60" i="2"/>
  <c r="I60" i="2" s="1"/>
  <c r="AG61" i="2"/>
  <c r="AG62" i="2"/>
  <c r="AG63" i="2"/>
  <c r="AG64" i="2"/>
  <c r="I64" i="2" s="1"/>
  <c r="AR64" i="2" s="1"/>
  <c r="AG65" i="2"/>
  <c r="AN65" i="2" s="1"/>
  <c r="AG66" i="2"/>
  <c r="AN66" i="2" s="1"/>
  <c r="AG67" i="2"/>
  <c r="AN67" i="2" s="1"/>
  <c r="AG68" i="2"/>
  <c r="AN68" i="2" s="1"/>
  <c r="AG69" i="2"/>
  <c r="I69" i="2" s="1"/>
  <c r="AR69" i="2" s="1"/>
  <c r="AG70" i="2"/>
  <c r="I70" i="2" s="1"/>
  <c r="AI70" i="2" s="1"/>
  <c r="AG71" i="2"/>
  <c r="I71" i="2" s="1"/>
  <c r="AI71" i="2" s="1"/>
  <c r="AG72" i="2"/>
  <c r="I72" i="2" s="1"/>
  <c r="AI72" i="2" s="1"/>
  <c r="AG73" i="2"/>
  <c r="I73" i="2" s="1"/>
  <c r="AI73" i="2" s="1"/>
  <c r="AG74" i="2"/>
  <c r="AN74" i="2" s="1"/>
  <c r="AG75" i="2"/>
  <c r="AN75" i="2" s="1"/>
  <c r="AG76" i="2"/>
  <c r="AN76" i="2" s="1"/>
  <c r="AG77" i="2"/>
  <c r="I77" i="2" s="1"/>
  <c r="AR77" i="2" s="1"/>
  <c r="AG78" i="2"/>
  <c r="AG79" i="2"/>
  <c r="AG80" i="2"/>
  <c r="I80" i="2" s="1"/>
  <c r="AG81" i="2"/>
  <c r="AN81" i="2" s="1"/>
  <c r="AG82" i="2"/>
  <c r="AG83" i="2"/>
  <c r="AG84" i="2"/>
  <c r="I84" i="2" s="1"/>
  <c r="AR84" i="2" s="1"/>
  <c r="AG85" i="2"/>
  <c r="I85" i="2" s="1"/>
  <c r="AG86" i="2"/>
  <c r="I86" i="2" s="1"/>
  <c r="AI86" i="2" s="1"/>
  <c r="AG87" i="2"/>
  <c r="AN87" i="2" s="1"/>
  <c r="AG88" i="2"/>
  <c r="AN88" i="2" s="1"/>
  <c r="AG89" i="2"/>
  <c r="AN89" i="2" s="1"/>
  <c r="AG90" i="2"/>
  <c r="AN90" i="2" s="1"/>
  <c r="AG91" i="2"/>
  <c r="AN91" i="2" s="1"/>
  <c r="AG92" i="2"/>
  <c r="AN92" i="2" s="1"/>
  <c r="AG93" i="2"/>
  <c r="I93" i="2" s="1"/>
  <c r="AG94" i="2"/>
  <c r="AN94" i="2" s="1"/>
  <c r="AG95" i="2"/>
  <c r="AG96" i="2"/>
  <c r="AG97" i="2"/>
  <c r="AN97" i="2" s="1"/>
  <c r="AG98" i="2"/>
  <c r="AG99" i="2"/>
  <c r="I99" i="2" s="1"/>
  <c r="AR99" i="2" s="1"/>
  <c r="AG100" i="2"/>
  <c r="AG101" i="2"/>
  <c r="AN101" i="2" s="1"/>
  <c r="AG102" i="2"/>
  <c r="AN102" i="2" s="1"/>
  <c r="AG103" i="2"/>
  <c r="I103" i="2" s="1"/>
  <c r="AO103" i="2" s="1"/>
  <c r="AP103" i="2" s="1"/>
  <c r="AG104" i="2"/>
  <c r="I104" i="2" s="1"/>
  <c r="AR104" i="2" s="1"/>
  <c r="AG105" i="2"/>
  <c r="I105" i="2" s="1"/>
  <c r="AR105" i="2" s="1"/>
  <c r="AG106" i="2"/>
  <c r="AN106" i="2" s="1"/>
  <c r="AG107" i="2"/>
  <c r="I107" i="2" s="1"/>
  <c r="AG108" i="2"/>
  <c r="AN108" i="2" s="1"/>
  <c r="AG109" i="2"/>
  <c r="I109" i="2" s="1"/>
  <c r="AG110" i="2"/>
  <c r="I110" i="2" s="1"/>
  <c r="AG111" i="2"/>
  <c r="I111" i="2" s="1"/>
  <c r="AG112" i="2"/>
  <c r="AN112" i="2" s="1"/>
  <c r="AG113" i="2"/>
  <c r="AN113" i="2" s="1"/>
  <c r="AG114" i="2"/>
  <c r="I114" i="2" s="1"/>
  <c r="AG115" i="2"/>
  <c r="I115" i="2" s="1"/>
  <c r="AR115" i="2" s="1"/>
  <c r="AG116" i="2"/>
  <c r="I116" i="2" s="1"/>
  <c r="AR116" i="2" s="1"/>
  <c r="AG117" i="2"/>
  <c r="AN117" i="2" s="1"/>
  <c r="AG118" i="2"/>
  <c r="I118" i="2" s="1"/>
  <c r="AR118" i="2" s="1"/>
  <c r="AG1" i="2"/>
  <c r="I1" i="2" s="1"/>
  <c r="I44" i="2"/>
  <c r="I45" i="2"/>
  <c r="I46" i="2"/>
  <c r="AR46" i="2" s="1"/>
  <c r="I14" i="2"/>
  <c r="AR14" i="2" s="1"/>
  <c r="I15" i="2"/>
  <c r="I19" i="2"/>
  <c r="AI19" i="2" s="1"/>
  <c r="AN23" i="2"/>
  <c r="I24" i="2"/>
  <c r="AI24" i="2" s="1"/>
  <c r="AN29" i="2"/>
  <c r="I30" i="2"/>
  <c r="I31" i="2"/>
  <c r="AN34" i="2"/>
  <c r="I35" i="2"/>
  <c r="AO35" i="2" s="1"/>
  <c r="AP35" i="2" s="1"/>
  <c r="AN61" i="2"/>
  <c r="AI95" i="2"/>
  <c r="AQ95" i="2" s="1"/>
  <c r="I95" i="2"/>
  <c r="AR95" i="2" s="1"/>
  <c r="I96" i="2"/>
  <c r="AR96" i="2" s="1"/>
  <c r="I98" i="2"/>
  <c r="AR98" i="2" s="1"/>
  <c r="I100" i="2"/>
  <c r="AR100" i="2" s="1"/>
  <c r="I101" i="2"/>
  <c r="AR101" i="2" s="1"/>
  <c r="I102" i="2"/>
  <c r="AR102" i="2" s="1"/>
  <c r="I59" i="2"/>
  <c r="AR59" i="2" s="1"/>
  <c r="I62" i="2"/>
  <c r="AR62" i="2" s="1"/>
  <c r="I63" i="2"/>
  <c r="AR63" i="2" s="1"/>
  <c r="I67" i="2"/>
  <c r="AR67" i="2" s="1"/>
  <c r="I68" i="2"/>
  <c r="AR68" i="2" s="1"/>
  <c r="I78" i="2"/>
  <c r="AO78" i="2" s="1"/>
  <c r="AP78" i="2" s="1"/>
  <c r="I79" i="2"/>
  <c r="AO79" i="2" s="1"/>
  <c r="AP79" i="2" s="1"/>
  <c r="I82" i="2"/>
  <c r="AR82" i="2" s="1"/>
  <c r="I83" i="2"/>
  <c r="AR83" i="2" s="1"/>
  <c r="I47" i="2"/>
  <c r="AR47" i="2" s="1"/>
  <c r="I48" i="2"/>
  <c r="AO48" i="2" s="1"/>
  <c r="AP48" i="2" s="1"/>
  <c r="I2" i="2"/>
  <c r="AO2" i="2" s="1"/>
  <c r="AP2" i="2" s="1"/>
  <c r="I3" i="2"/>
  <c r="AI3" i="2" s="1"/>
  <c r="AN110" i="2"/>
  <c r="AN111" i="2"/>
  <c r="AN114" i="2"/>
  <c r="AN116" i="2"/>
  <c r="AN118" i="2"/>
  <c r="AN63" i="2"/>
  <c r="AN77" i="2"/>
  <c r="AN78" i="2"/>
  <c r="AN79" i="2"/>
  <c r="AN80" i="2"/>
  <c r="AN82" i="2"/>
  <c r="AN83" i="2"/>
  <c r="AN84" i="2"/>
  <c r="AN95" i="2"/>
  <c r="AN96" i="2"/>
  <c r="AN98" i="2"/>
  <c r="AN99" i="2"/>
  <c r="AN100" i="2"/>
  <c r="AN47" i="2"/>
  <c r="AN62" i="2"/>
  <c r="AN2" i="2"/>
  <c r="AN3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R114" i="2" l="1"/>
  <c r="AO114" i="2"/>
  <c r="AP114" i="2" s="1"/>
  <c r="AN115" i="2"/>
  <c r="I66" i="2"/>
  <c r="AR66" i="2" s="1"/>
  <c r="AN36" i="2"/>
  <c r="I16" i="2"/>
  <c r="I51" i="2"/>
  <c r="AI51" i="2" s="1"/>
  <c r="AN107" i="2"/>
  <c r="I42" i="2"/>
  <c r="AO42" i="2" s="1"/>
  <c r="AP42" i="2" s="1"/>
  <c r="AI96" i="2"/>
  <c r="AQ96" i="2" s="1"/>
  <c r="AN104" i="2"/>
  <c r="I87" i="2"/>
  <c r="AI87" i="2" s="1"/>
  <c r="I112" i="2"/>
  <c r="AN8" i="2"/>
  <c r="AN86" i="2"/>
  <c r="AN103" i="2"/>
  <c r="AN1" i="2"/>
  <c r="AN64" i="2"/>
  <c r="AR111" i="2"/>
  <c r="AO111" i="2"/>
  <c r="AP111" i="2" s="1"/>
  <c r="AI111" i="2"/>
  <c r="AQ111" i="2" s="1"/>
  <c r="AI110" i="2"/>
  <c r="AR110" i="2"/>
  <c r="AO110" i="2"/>
  <c r="AP110" i="2" s="1"/>
  <c r="AR107" i="2"/>
  <c r="AI107" i="2"/>
  <c r="AH107" i="2" s="1"/>
  <c r="I117" i="2"/>
  <c r="AR117" i="2" s="1"/>
  <c r="AN73" i="2"/>
  <c r="I6" i="2"/>
  <c r="AI6" i="2" s="1"/>
  <c r="AH6" i="2" s="1"/>
  <c r="I94" i="2"/>
  <c r="AO94" i="2" s="1"/>
  <c r="AP94" i="2" s="1"/>
  <c r="AO98" i="2"/>
  <c r="AP98" i="2" s="1"/>
  <c r="AN72" i="2"/>
  <c r="I76" i="2"/>
  <c r="I92" i="2"/>
  <c r="AI92" i="2" s="1"/>
  <c r="AH92" i="2" s="1"/>
  <c r="I7" i="2"/>
  <c r="AI7" i="2" s="1"/>
  <c r="AO95" i="2"/>
  <c r="AP95" i="2" s="1"/>
  <c r="AN60" i="2"/>
  <c r="AN71" i="2"/>
  <c r="I75" i="2"/>
  <c r="AO75" i="2" s="1"/>
  <c r="AP75" i="2" s="1"/>
  <c r="I91" i="2"/>
  <c r="AO91" i="2" s="1"/>
  <c r="AP91" i="2" s="1"/>
  <c r="AN69" i="2"/>
  <c r="I74" i="2"/>
  <c r="AI74" i="2" s="1"/>
  <c r="AH74" i="2" s="1"/>
  <c r="I89" i="2"/>
  <c r="AI89" i="2" s="1"/>
  <c r="AH89" i="2" s="1"/>
  <c r="I88" i="2"/>
  <c r="AI88" i="2" s="1"/>
  <c r="AN70" i="2"/>
  <c r="I108" i="2"/>
  <c r="AO108" i="2" s="1"/>
  <c r="AP108" i="2" s="1"/>
  <c r="AI99" i="2"/>
  <c r="AQ99" i="2" s="1"/>
  <c r="AN41" i="2"/>
  <c r="I43" i="2"/>
  <c r="AR43" i="2" s="1"/>
  <c r="AI98" i="2"/>
  <c r="AQ98" i="2" s="1"/>
  <c r="AN105" i="2"/>
  <c r="AO80" i="2"/>
  <c r="AP80" i="2" s="1"/>
  <c r="AI80" i="2"/>
  <c r="AQ80" i="2" s="1"/>
  <c r="AR109" i="2"/>
  <c r="AO109" i="2"/>
  <c r="AP109" i="2" s="1"/>
  <c r="AI109" i="2"/>
  <c r="AQ109" i="2" s="1"/>
  <c r="AR93" i="2"/>
  <c r="AO93" i="2"/>
  <c r="AP93" i="2" s="1"/>
  <c r="AI93" i="2"/>
  <c r="AR85" i="2"/>
  <c r="AO85" i="2"/>
  <c r="AP85" i="2" s="1"/>
  <c r="AI85" i="2"/>
  <c r="AQ85" i="2" s="1"/>
  <c r="I65" i="2"/>
  <c r="AI65" i="2" s="1"/>
  <c r="AH65" i="2" s="1"/>
  <c r="AO77" i="2"/>
  <c r="AP77" i="2" s="1"/>
  <c r="AN85" i="2"/>
  <c r="I106" i="2"/>
  <c r="I90" i="2"/>
  <c r="AR90" i="2" s="1"/>
  <c r="I81" i="2"/>
  <c r="AO73" i="2"/>
  <c r="AP73" i="2" s="1"/>
  <c r="AI104" i="2"/>
  <c r="AN109" i="2"/>
  <c r="AN93" i="2"/>
  <c r="AO107" i="2"/>
  <c r="AP107" i="2" s="1"/>
  <c r="AR73" i="2"/>
  <c r="AI108" i="2"/>
  <c r="AH108" i="2" s="1"/>
  <c r="AI101" i="2"/>
  <c r="AQ101" i="2" s="1"/>
  <c r="I113" i="2"/>
  <c r="AR113" i="2" s="1"/>
  <c r="I97" i="2"/>
  <c r="AR97" i="2" s="1"/>
  <c r="AI84" i="2"/>
  <c r="AQ84" i="2" s="1"/>
  <c r="AH111" i="2"/>
  <c r="AO96" i="2"/>
  <c r="AP96" i="2" s="1"/>
  <c r="AI79" i="2"/>
  <c r="AQ79" i="2" s="1"/>
  <c r="AO84" i="2"/>
  <c r="AP84" i="2" s="1"/>
  <c r="AI77" i="2"/>
  <c r="AH77" i="2" s="1"/>
  <c r="AO82" i="2"/>
  <c r="AP82" i="2" s="1"/>
  <c r="AN38" i="2"/>
  <c r="AN39" i="2"/>
  <c r="AN40" i="2"/>
  <c r="AN45" i="2"/>
  <c r="AN46" i="2"/>
  <c r="I49" i="2"/>
  <c r="AR49" i="2" s="1"/>
  <c r="I50" i="2"/>
  <c r="AR50" i="2" s="1"/>
  <c r="AN22" i="2"/>
  <c r="I23" i="2"/>
  <c r="AO23" i="2" s="1"/>
  <c r="AP23" i="2" s="1"/>
  <c r="AN24" i="2"/>
  <c r="AN25" i="2"/>
  <c r="I34" i="2"/>
  <c r="AO34" i="2" s="1"/>
  <c r="AP34" i="2" s="1"/>
  <c r="AN35" i="2"/>
  <c r="I37" i="2"/>
  <c r="AO37" i="2" s="1"/>
  <c r="AP37" i="2" s="1"/>
  <c r="I4" i="2"/>
  <c r="AI4" i="2" s="1"/>
  <c r="AQ4" i="2" s="1"/>
  <c r="I5" i="2"/>
  <c r="AO5" i="2" s="1"/>
  <c r="AP5" i="2" s="1"/>
  <c r="AN18" i="2"/>
  <c r="AN19" i="2"/>
  <c r="AI62" i="2"/>
  <c r="AH62" i="2" s="1"/>
  <c r="AN27" i="2"/>
  <c r="AN26" i="2"/>
  <c r="I29" i="2"/>
  <c r="AR29" i="2" s="1"/>
  <c r="AR58" i="2"/>
  <c r="AI58" i="2"/>
  <c r="AQ58" i="2" s="1"/>
  <c r="AO58" i="2"/>
  <c r="AP58" i="2" s="1"/>
  <c r="AO60" i="2"/>
  <c r="AP60" i="2" s="1"/>
  <c r="AI60" i="2"/>
  <c r="AR60" i="2"/>
  <c r="AI53" i="2"/>
  <c r="AH53" i="2" s="1"/>
  <c r="AR53" i="2"/>
  <c r="AO53" i="2"/>
  <c r="AP53" i="2" s="1"/>
  <c r="AI52" i="2"/>
  <c r="AH52" i="2" s="1"/>
  <c r="AO52" i="2"/>
  <c r="AP52" i="2" s="1"/>
  <c r="AR52" i="2"/>
  <c r="AO69" i="2"/>
  <c r="AP69" i="2" s="1"/>
  <c r="AN53" i="2"/>
  <c r="I57" i="2"/>
  <c r="I56" i="2"/>
  <c r="AI56" i="2" s="1"/>
  <c r="AH56" i="2" s="1"/>
  <c r="AN58" i="2"/>
  <c r="I55" i="2"/>
  <c r="AI55" i="2" s="1"/>
  <c r="AQ55" i="2" s="1"/>
  <c r="I54" i="2"/>
  <c r="AI54" i="2" s="1"/>
  <c r="AH54" i="2" s="1"/>
  <c r="I61" i="2"/>
  <c r="AI64" i="2"/>
  <c r="AQ64" i="2" s="1"/>
  <c r="AO46" i="2"/>
  <c r="AP46" i="2" s="1"/>
  <c r="AI47" i="2"/>
  <c r="AH47" i="2" s="1"/>
  <c r="AI63" i="2"/>
  <c r="AQ63" i="2" s="1"/>
  <c r="AI69" i="2"/>
  <c r="AQ69" i="2" s="1"/>
  <c r="AI46" i="2"/>
  <c r="AH46" i="2" s="1"/>
  <c r="AO47" i="2"/>
  <c r="AP47" i="2" s="1"/>
  <c r="AO68" i="2"/>
  <c r="AP68" i="2" s="1"/>
  <c r="AN52" i="2"/>
  <c r="AO66" i="2"/>
  <c r="AP66" i="2" s="1"/>
  <c r="AI68" i="2"/>
  <c r="AH68" i="2" s="1"/>
  <c r="AO44" i="2"/>
  <c r="AP44" i="2" s="1"/>
  <c r="AI44" i="2"/>
  <c r="AH44" i="2" s="1"/>
  <c r="AR44" i="2"/>
  <c r="AR33" i="2"/>
  <c r="AO33" i="2"/>
  <c r="AP33" i="2" s="1"/>
  <c r="AI33" i="2"/>
  <c r="AR31" i="2"/>
  <c r="AO31" i="2"/>
  <c r="AP31" i="2" s="1"/>
  <c r="AI31" i="2"/>
  <c r="AH31" i="2" s="1"/>
  <c r="AR28" i="2"/>
  <c r="AO28" i="2"/>
  <c r="AP28" i="2" s="1"/>
  <c r="AI28" i="2"/>
  <c r="AH28" i="2" s="1"/>
  <c r="AR37" i="2"/>
  <c r="AI45" i="2"/>
  <c r="AO45" i="2"/>
  <c r="AP45" i="2" s="1"/>
  <c r="AR45" i="2"/>
  <c r="AO36" i="2"/>
  <c r="AP36" i="2" s="1"/>
  <c r="AR36" i="2"/>
  <c r="AR30" i="2"/>
  <c r="AO30" i="2"/>
  <c r="AP30" i="2" s="1"/>
  <c r="AN15" i="2"/>
  <c r="AI41" i="2"/>
  <c r="AH41" i="2" s="1"/>
  <c r="AI26" i="2"/>
  <c r="AH26" i="2" s="1"/>
  <c r="AN17" i="2"/>
  <c r="AN33" i="2"/>
  <c r="AI2" i="2"/>
  <c r="AQ2" i="2" s="1"/>
  <c r="AO26" i="2"/>
  <c r="AP26" i="2" s="1"/>
  <c r="AO25" i="2"/>
  <c r="AP25" i="2" s="1"/>
  <c r="AN32" i="2"/>
  <c r="AR42" i="2"/>
  <c r="AI42" i="2"/>
  <c r="AH42" i="2" s="1"/>
  <c r="AN31" i="2"/>
  <c r="I21" i="2"/>
  <c r="AO21" i="2" s="1"/>
  <c r="AP21" i="2" s="1"/>
  <c r="AR41" i="2"/>
  <c r="AN30" i="2"/>
  <c r="I20" i="2"/>
  <c r="AI20" i="2" s="1"/>
  <c r="AQ20" i="2" s="1"/>
  <c r="AN44" i="2"/>
  <c r="AN28" i="2"/>
  <c r="I11" i="2"/>
  <c r="AI11" i="2" s="1"/>
  <c r="AQ11" i="2" s="1"/>
  <c r="AR27" i="2"/>
  <c r="AO16" i="2"/>
  <c r="AP16" i="2" s="1"/>
  <c r="AI16" i="2"/>
  <c r="AO17" i="2"/>
  <c r="AP17" i="2" s="1"/>
  <c r="AI17" i="2"/>
  <c r="AQ17" i="2" s="1"/>
  <c r="AR15" i="2"/>
  <c r="AO15" i="2"/>
  <c r="AP15" i="2" s="1"/>
  <c r="AO13" i="2"/>
  <c r="AP13" i="2" s="1"/>
  <c r="AR13" i="2"/>
  <c r="AI13" i="2"/>
  <c r="I10" i="2"/>
  <c r="I9" i="2"/>
  <c r="AN12" i="2"/>
  <c r="AR25" i="2"/>
  <c r="AN13" i="2"/>
  <c r="AN14" i="2"/>
  <c r="AI8" i="2"/>
  <c r="AI18" i="2"/>
  <c r="AQ18" i="2" s="1"/>
  <c r="AR8" i="2"/>
  <c r="AR22" i="2"/>
  <c r="AR6" i="2"/>
  <c r="AO1" i="2"/>
  <c r="AP1" i="2" s="1"/>
  <c r="AQ19" i="2"/>
  <c r="AH19" i="2"/>
  <c r="AH87" i="2"/>
  <c r="AQ87" i="2"/>
  <c r="AH86" i="2"/>
  <c r="AQ86" i="2"/>
  <c r="AQ71" i="2"/>
  <c r="AH71" i="2"/>
  <c r="AH51" i="2"/>
  <c r="AQ51" i="2"/>
  <c r="AQ110" i="2"/>
  <c r="AH110" i="2"/>
  <c r="AQ3" i="2"/>
  <c r="AH3" i="2"/>
  <c r="AQ70" i="2"/>
  <c r="AH70" i="2"/>
  <c r="AH27" i="2"/>
  <c r="AQ27" i="2"/>
  <c r="AH88" i="2"/>
  <c r="AQ88" i="2"/>
  <c r="AQ22" i="2"/>
  <c r="AH22" i="2"/>
  <c r="AQ7" i="2"/>
  <c r="AH7" i="2"/>
  <c r="AH73" i="2"/>
  <c r="AQ73" i="2"/>
  <c r="AQ39" i="2"/>
  <c r="AH39" i="2"/>
  <c r="AQ38" i="2"/>
  <c r="AH38" i="2"/>
  <c r="AH4" i="2"/>
  <c r="AH24" i="2"/>
  <c r="AQ24" i="2"/>
  <c r="AH72" i="2"/>
  <c r="AQ72" i="2"/>
  <c r="AO14" i="2"/>
  <c r="AP14" i="2" s="1"/>
  <c r="AQ77" i="2"/>
  <c r="AR80" i="2"/>
  <c r="AH84" i="2"/>
  <c r="AO88" i="2"/>
  <c r="AP88" i="2" s="1"/>
  <c r="AO72" i="2"/>
  <c r="AP72" i="2" s="1"/>
  <c r="AQ107" i="2"/>
  <c r="AR40" i="2"/>
  <c r="AR79" i="2"/>
  <c r="AR24" i="2"/>
  <c r="AR39" i="2"/>
  <c r="AR78" i="2"/>
  <c r="AI100" i="2"/>
  <c r="AI83" i="2"/>
  <c r="AI67" i="2"/>
  <c r="AI15" i="2"/>
  <c r="AI82" i="2"/>
  <c r="AI66" i="2"/>
  <c r="AO12" i="2"/>
  <c r="AP12" i="2" s="1"/>
  <c r="AO87" i="2"/>
  <c r="AP87" i="2" s="1"/>
  <c r="AO71" i="2"/>
  <c r="AP71" i="2" s="1"/>
  <c r="AI30" i="2"/>
  <c r="AI14" i="2"/>
  <c r="AI59" i="2"/>
  <c r="AI105" i="2"/>
  <c r="AH98" i="2"/>
  <c r="AO27" i="2"/>
  <c r="AP27" i="2" s="1"/>
  <c r="AO86" i="2"/>
  <c r="AP86" i="2" s="1"/>
  <c r="AO70" i="2"/>
  <c r="AP70" i="2" s="1"/>
  <c r="AR23" i="2"/>
  <c r="AR7" i="2"/>
  <c r="AR38" i="2"/>
  <c r="AI12" i="2"/>
  <c r="AI103" i="2"/>
  <c r="AH96" i="2"/>
  <c r="AH80" i="2"/>
  <c r="AR91" i="2"/>
  <c r="AR75" i="2"/>
  <c r="AI40" i="2"/>
  <c r="AI78" i="2"/>
  <c r="AI118" i="2"/>
  <c r="AI102" i="2"/>
  <c r="AH95" i="2"/>
  <c r="AH79" i="2"/>
  <c r="AH109" i="2"/>
  <c r="AO24" i="2"/>
  <c r="AP24" i="2" s="1"/>
  <c r="AO83" i="2"/>
  <c r="AP83" i="2" s="1"/>
  <c r="AO67" i="2"/>
  <c r="AP67" i="2" s="1"/>
  <c r="AO51" i="2"/>
  <c r="AP51" i="2" s="1"/>
  <c r="AO105" i="2"/>
  <c r="AP105" i="2" s="1"/>
  <c r="AQ25" i="2"/>
  <c r="AR4" i="2"/>
  <c r="AR51" i="2"/>
  <c r="AR35" i="2"/>
  <c r="AR74" i="2"/>
  <c r="AO39" i="2"/>
  <c r="AP39" i="2" s="1"/>
  <c r="AO104" i="2"/>
  <c r="AP104" i="2" s="1"/>
  <c r="AR19" i="2"/>
  <c r="AR3" i="2"/>
  <c r="AR34" i="2"/>
  <c r="AR89" i="2"/>
  <c r="AO38" i="2"/>
  <c r="AP38" i="2" s="1"/>
  <c r="AI37" i="2"/>
  <c r="AI91" i="2"/>
  <c r="AI75" i="2"/>
  <c r="AI115" i="2"/>
  <c r="AO64" i="2"/>
  <c r="AP64" i="2" s="1"/>
  <c r="AO118" i="2"/>
  <c r="AP118" i="2" s="1"/>
  <c r="AO102" i="2"/>
  <c r="AP102" i="2" s="1"/>
  <c r="AQ68" i="2"/>
  <c r="AR17" i="2"/>
  <c r="AR48" i="2"/>
  <c r="AR32" i="2"/>
  <c r="AR103" i="2"/>
  <c r="AR71" i="2"/>
  <c r="AO7" i="2"/>
  <c r="AP7" i="2" s="1"/>
  <c r="AO22" i="2"/>
  <c r="AP22" i="2" s="1"/>
  <c r="AR2" i="2"/>
  <c r="AI23" i="2"/>
  <c r="AI36" i="2"/>
  <c r="AI114" i="2"/>
  <c r="AO4" i="2"/>
  <c r="AP4" i="2" s="1"/>
  <c r="AO63" i="2"/>
  <c r="AP63" i="2" s="1"/>
  <c r="AO117" i="2"/>
  <c r="AP117" i="2" s="1"/>
  <c r="AO101" i="2"/>
  <c r="AP101" i="2" s="1"/>
  <c r="AR16" i="2"/>
  <c r="AR86" i="2"/>
  <c r="AR70" i="2"/>
  <c r="AI116" i="2"/>
  <c r="AR18" i="2"/>
  <c r="AR72" i="2"/>
  <c r="AI35" i="2"/>
  <c r="AO19" i="2"/>
  <c r="AP19" i="2" s="1"/>
  <c r="AO3" i="2"/>
  <c r="AP3" i="2" s="1"/>
  <c r="AO62" i="2"/>
  <c r="AP62" i="2" s="1"/>
  <c r="AO116" i="2"/>
  <c r="AP116" i="2" s="1"/>
  <c r="AO100" i="2"/>
  <c r="AP100" i="2" s="1"/>
  <c r="AH64" i="2"/>
  <c r="AO115" i="2"/>
  <c r="AP115" i="2" s="1"/>
  <c r="AO99" i="2"/>
  <c r="AP99" i="2" s="1"/>
  <c r="AI48" i="2"/>
  <c r="AI32" i="2"/>
  <c r="AO59" i="2"/>
  <c r="AP59" i="2" s="1"/>
  <c r="C3" i="3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I97" i="2" l="1"/>
  <c r="AR112" i="2"/>
  <c r="AO112" i="2"/>
  <c r="AP112" i="2" s="1"/>
  <c r="AR88" i="2"/>
  <c r="AQ74" i="2"/>
  <c r="AR108" i="2"/>
  <c r="AO89" i="2"/>
  <c r="AP89" i="2" s="1"/>
  <c r="AQ6" i="2"/>
  <c r="AQ89" i="2"/>
  <c r="AI112" i="2"/>
  <c r="AO6" i="2"/>
  <c r="AP6" i="2" s="1"/>
  <c r="AO29" i="2"/>
  <c r="AP29" i="2" s="1"/>
  <c r="AO97" i="2"/>
  <c r="AP97" i="2" s="1"/>
  <c r="AR87" i="2"/>
  <c r="AI29" i="2"/>
  <c r="AQ29" i="2" s="1"/>
  <c r="AI43" i="2"/>
  <c r="AQ43" i="2" s="1"/>
  <c r="AO49" i="2"/>
  <c r="AP49" i="2" s="1"/>
  <c r="AQ65" i="2"/>
  <c r="AI94" i="2"/>
  <c r="AR94" i="2"/>
  <c r="AR92" i="2"/>
  <c r="AQ92" i="2"/>
  <c r="AR5" i="2"/>
  <c r="AH69" i="2"/>
  <c r="AO92" i="2"/>
  <c r="AP92" i="2" s="1"/>
  <c r="AH99" i="2"/>
  <c r="AO74" i="2"/>
  <c r="AP74" i="2" s="1"/>
  <c r="AI117" i="2"/>
  <c r="AR76" i="2"/>
  <c r="AI76" i="2"/>
  <c r="AO76" i="2"/>
  <c r="AP76" i="2" s="1"/>
  <c r="AO43" i="2"/>
  <c r="AP43" i="2" s="1"/>
  <c r="AO65" i="2"/>
  <c r="AP65" i="2" s="1"/>
  <c r="AH85" i="2"/>
  <c r="AO50" i="2"/>
  <c r="AP50" i="2" s="1"/>
  <c r="AR106" i="2"/>
  <c r="AO106" i="2"/>
  <c r="AP106" i="2" s="1"/>
  <c r="AI106" i="2"/>
  <c r="AI49" i="2"/>
  <c r="AH101" i="2"/>
  <c r="AI113" i="2"/>
  <c r="AQ113" i="2" s="1"/>
  <c r="AH104" i="2"/>
  <c r="AQ104" i="2"/>
  <c r="AQ62" i="2"/>
  <c r="AH93" i="2"/>
  <c r="AQ93" i="2"/>
  <c r="AO113" i="2"/>
  <c r="AP113" i="2" s="1"/>
  <c r="AI5" i="2"/>
  <c r="AQ5" i="2" s="1"/>
  <c r="AI90" i="2"/>
  <c r="AO90" i="2"/>
  <c r="AP90" i="2" s="1"/>
  <c r="AR65" i="2"/>
  <c r="AI81" i="2"/>
  <c r="AO81" i="2"/>
  <c r="AP81" i="2" s="1"/>
  <c r="AR81" i="2"/>
  <c r="AI50" i="2"/>
  <c r="AH50" i="2" s="1"/>
  <c r="AQ108" i="2"/>
  <c r="AI34" i="2"/>
  <c r="AH34" i="2" s="1"/>
  <c r="AQ42" i="2"/>
  <c r="AQ46" i="2"/>
  <c r="AQ50" i="2"/>
  <c r="AQ52" i="2"/>
  <c r="AQ31" i="2"/>
  <c r="AQ34" i="2"/>
  <c r="AH18" i="2"/>
  <c r="AH55" i="2"/>
  <c r="AR54" i="2"/>
  <c r="AR56" i="2"/>
  <c r="AQ56" i="2"/>
  <c r="AQ44" i="2"/>
  <c r="AR55" i="2"/>
  <c r="AH58" i="2"/>
  <c r="AO56" i="2"/>
  <c r="AP56" i="2" s="1"/>
  <c r="AH20" i="2"/>
  <c r="AO11" i="2"/>
  <c r="AP11" i="2" s="1"/>
  <c r="AI21" i="2"/>
  <c r="AQ21" i="2" s="1"/>
  <c r="AO20" i="2"/>
  <c r="AP20" i="2" s="1"/>
  <c r="AR21" i="2"/>
  <c r="AQ26" i="2"/>
  <c r="AH29" i="2"/>
  <c r="AH63" i="2"/>
  <c r="AQ47" i="2"/>
  <c r="AO55" i="2"/>
  <c r="AP55" i="2" s="1"/>
  <c r="AQ53" i="2"/>
  <c r="AO54" i="2"/>
  <c r="AP54" i="2" s="1"/>
  <c r="AR61" i="2"/>
  <c r="AI61" i="2"/>
  <c r="AO61" i="2"/>
  <c r="AP61" i="2" s="1"/>
  <c r="AQ60" i="2"/>
  <c r="AH60" i="2"/>
  <c r="AQ54" i="2"/>
  <c r="AR57" i="2"/>
  <c r="AI57" i="2"/>
  <c r="AO57" i="2"/>
  <c r="AP57" i="2" s="1"/>
  <c r="AQ45" i="2"/>
  <c r="AH45" i="2"/>
  <c r="AH17" i="2"/>
  <c r="AQ28" i="2"/>
  <c r="AH2" i="2"/>
  <c r="AH11" i="2"/>
  <c r="AH33" i="2"/>
  <c r="AQ33" i="2"/>
  <c r="AR11" i="2"/>
  <c r="AQ41" i="2"/>
  <c r="AR20" i="2"/>
  <c r="AI1" i="2"/>
  <c r="AQ1" i="2" s="1"/>
  <c r="AR1" i="2"/>
  <c r="AO9" i="2"/>
  <c r="AP9" i="2" s="1"/>
  <c r="AR9" i="2"/>
  <c r="AI9" i="2"/>
  <c r="AR10" i="2"/>
  <c r="AO10" i="2"/>
  <c r="AP10" i="2" s="1"/>
  <c r="AI10" i="2"/>
  <c r="AQ13" i="2"/>
  <c r="AH13" i="2"/>
  <c r="AQ8" i="2"/>
  <c r="AH8" i="2"/>
  <c r="AH16" i="2"/>
  <c r="AQ16" i="2"/>
  <c r="AH75" i="2"/>
  <c r="AQ75" i="2"/>
  <c r="AQ115" i="2"/>
  <c r="AH115" i="2"/>
  <c r="AH91" i="2"/>
  <c r="AQ91" i="2"/>
  <c r="AH37" i="2"/>
  <c r="AQ37" i="2"/>
  <c r="AH103" i="2"/>
  <c r="AQ103" i="2"/>
  <c r="AQ12" i="2"/>
  <c r="AH12" i="2"/>
  <c r="AQ66" i="2"/>
  <c r="AH66" i="2"/>
  <c r="AH105" i="2"/>
  <c r="AQ105" i="2"/>
  <c r="AQ97" i="2"/>
  <c r="AH97" i="2"/>
  <c r="AH15" i="2"/>
  <c r="AQ15" i="2"/>
  <c r="AQ82" i="2"/>
  <c r="AH82" i="2"/>
  <c r="AH35" i="2"/>
  <c r="AQ35" i="2"/>
  <c r="AH32" i="2"/>
  <c r="AQ32" i="2"/>
  <c r="AQ114" i="2"/>
  <c r="AH114" i="2"/>
  <c r="AQ59" i="2"/>
  <c r="AH59" i="2"/>
  <c r="AQ67" i="2"/>
  <c r="AH67" i="2"/>
  <c r="AQ40" i="2"/>
  <c r="AH40" i="2"/>
  <c r="AH48" i="2"/>
  <c r="AQ48" i="2"/>
  <c r="AH36" i="2"/>
  <c r="AQ36" i="2"/>
  <c r="AH14" i="2"/>
  <c r="AQ14" i="2"/>
  <c r="AQ83" i="2"/>
  <c r="AH83" i="2"/>
  <c r="AQ23" i="2"/>
  <c r="AH23" i="2"/>
  <c r="AH102" i="2"/>
  <c r="AQ102" i="2"/>
  <c r="AH30" i="2"/>
  <c r="AQ30" i="2"/>
  <c r="AQ100" i="2"/>
  <c r="AH100" i="2"/>
  <c r="AQ116" i="2"/>
  <c r="AH116" i="2"/>
  <c r="AH118" i="2"/>
  <c r="AQ118" i="2"/>
  <c r="AQ78" i="2"/>
  <c r="AH78" i="2"/>
  <c r="H106" i="2"/>
  <c r="H114" i="2"/>
  <c r="AH43" i="2" l="1"/>
  <c r="AQ112" i="2"/>
  <c r="AH112" i="2"/>
  <c r="AH76" i="2"/>
  <c r="AQ76" i="2"/>
  <c r="AH117" i="2"/>
  <c r="AQ117" i="2"/>
  <c r="AQ94" i="2"/>
  <c r="AH94" i="2"/>
  <c r="AH113" i="2"/>
  <c r="AH90" i="2"/>
  <c r="AQ90" i="2"/>
  <c r="AH49" i="2"/>
  <c r="AQ49" i="2"/>
  <c r="AH106" i="2"/>
  <c r="AQ106" i="2"/>
  <c r="AH5" i="2"/>
  <c r="AH81" i="2"/>
  <c r="AQ81" i="2"/>
  <c r="AH21" i="2"/>
  <c r="AH57" i="2"/>
  <c r="AQ57" i="2"/>
  <c r="AQ61" i="2"/>
  <c r="AH61" i="2"/>
  <c r="AH1" i="2"/>
  <c r="AQ9" i="2"/>
  <c r="AH9" i="2"/>
  <c r="AQ10" i="2"/>
  <c r="AH10" i="2"/>
</calcChain>
</file>

<file path=xl/sharedStrings.xml><?xml version="1.0" encoding="utf-8"?>
<sst xmlns="http://schemas.openxmlformats.org/spreadsheetml/2006/main" count="946" uniqueCount="505">
  <si>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</si>
  <si>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</si>
  <si>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</si>
  <si>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</si>
  <si>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</si>
  <si>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</si>
  <si>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</si>
  <si>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</si>
  <si>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</si>
  <si>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</si>
  <si>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</si>
  <si>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</si>
  <si>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</si>
  <si>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</si>
  <si>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</si>
  <si>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</si>
  <si>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</si>
  <si>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</si>
  <si>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</si>
  <si>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</si>
  <si>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</si>
  <si>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</si>
  <si>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</si>
  <si>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</si>
  <si>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</si>
  <si>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</si>
  <si>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</si>
  <si>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</si>
  <si>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</si>
  <si>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</si>
  <si>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</si>
  <si>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</si>
  <si>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</si>
  <si>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</si>
  <si>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</si>
  <si>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</si>
  <si>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</si>
  <si>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</si>
  <si>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</si>
  <si>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</si>
  <si>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</si>
  <si>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</si>
  <si>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</si>
  <si>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</si>
  <si>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</si>
  <si>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</si>
  <si>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</si>
  <si>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</si>
  <si>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</si>
  <si>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</si>
  <si>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</si>
  <si>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</si>
  <si>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</si>
  <si>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</si>
  <si>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</si>
  <si>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</si>
  <si>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</si>
  <si>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</si>
  <si>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</si>
  <si>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</si>
  <si>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</si>
  <si>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</si>
  <si>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</si>
  <si>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</si>
  <si>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</si>
  <si>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</si>
  <si>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</si>
  <si>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</si>
  <si>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</si>
  <si>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</si>
  <si>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</si>
  <si>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</si>
  <si>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</si>
  <si>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</si>
  <si>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</si>
  <si>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</si>
  <si>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</si>
  <si>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</si>
  <si>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</si>
  <si>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</si>
  <si>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</si>
  <si>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</si>
  <si>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</si>
  <si>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</si>
  <si>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</si>
  <si>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</si>
  <si>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</si>
  <si>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</si>
  <si>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</si>
  <si>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</si>
  <si>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</si>
  <si>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</si>
  <si>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</si>
  <si>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</si>
  <si>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</si>
  <si>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</si>
  <si>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</si>
  <si>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</si>
  <si>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</si>
  <si>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</si>
  <si>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</si>
  <si>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</si>
  <si>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</si>
  <si>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</si>
  <si>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</si>
  <si>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</si>
  <si>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</si>
  <si>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</si>
  <si>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</si>
  <si>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</si>
  <si>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</si>
  <si>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</si>
  <si>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</si>
  <si>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</si>
  <si>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</si>
  <si>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</si>
  <si>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</si>
  <si>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</si>
  <si>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</si>
  <si>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</si>
  <si>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</si>
  <si>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</si>
  <si>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</si>
  <si>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</si>
  <si>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</si>
  <si>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</si>
  <si>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</si>
  <si>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</si>
  <si>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</si>
  <si>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</si>
  <si>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</si>
  <si>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</si>
  <si>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</si>
  <si>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</si>
  <si>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</si>
  <si>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</si>
  <si>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</si>
  <si>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</si>
  <si>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</si>
  <si>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</si>
  <si>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</si>
  <si>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</si>
  <si>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</si>
  <si>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</si>
  <si>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</si>
  <si>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</si>
  <si>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</si>
  <si>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</si>
  <si>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</si>
  <si>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</si>
  <si>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</si>
  <si>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</si>
  <si>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</si>
  <si>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</si>
  <si>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</si>
  <si>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</si>
  <si>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</si>
  <si>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</si>
  <si>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</si>
  <si>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</si>
  <si>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</si>
  <si>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</si>
  <si>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</si>
  <si>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</si>
  <si>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</si>
  <si>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</si>
  <si>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</si>
  <si>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</si>
  <si>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</si>
  <si>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</si>
  <si>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</si>
  <si>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</si>
  <si>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</si>
  <si>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</si>
  <si>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</si>
  <si>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</si>
  <si>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</si>
  <si>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</si>
  <si>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</si>
  <si>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</si>
  <si>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</si>
  <si>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</si>
  <si>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</si>
  <si>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</si>
  <si>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</si>
  <si>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</si>
  <si>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</si>
  <si>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</si>
  <si>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</si>
  <si>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</si>
  <si>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</si>
  <si>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</si>
  <si>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</si>
  <si>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</si>
  <si>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</si>
  <si>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</si>
  <si>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</si>
  <si>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</si>
  <si>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</si>
  <si>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</si>
  <si>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</si>
  <si>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</si>
  <si>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</si>
  <si>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</si>
  <si>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</si>
  <si>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</si>
  <si>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</si>
  <si>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</si>
  <si>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</si>
  <si>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</si>
  <si>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</si>
  <si>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</si>
  <si>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</si>
  <si>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</si>
  <si>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</si>
  <si>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</si>
  <si>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</si>
  <si>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</si>
  <si>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</si>
  <si>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</si>
  <si>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</si>
  <si>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</si>
  <si>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</si>
  <si>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</si>
  <si>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</si>
  <si>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</si>
  <si>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</si>
  <si>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</si>
  <si>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</si>
  <si>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</si>
  <si>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</si>
  <si>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</si>
  <si>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</si>
  <si>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</si>
  <si>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</si>
  <si>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</si>
  <si>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</si>
  <si>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</si>
  <si>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</si>
  <si>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</si>
  <si>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</si>
  <si>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</si>
  <si>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</si>
  <si>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</si>
  <si>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</si>
  <si>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</si>
  <si>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</si>
  <si>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</si>
  <si>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</si>
  <si>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</si>
  <si>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</si>
  <si>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</si>
  <si>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</si>
  <si>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</si>
  <si>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</si>
  <si>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</si>
  <si>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</si>
  <si>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</si>
  <si>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</si>
  <si>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</si>
  <si>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</si>
  <si>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</si>
  <si>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</si>
  <si>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</si>
  <si>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</si>
  <si>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</si>
  <si>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</si>
  <si>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</si>
  <si>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</si>
  <si>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</si>
  <si>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</si>
  <si>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</si>
  <si>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</si>
  <si>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</si>
  <si>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</si>
  <si>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</si>
  <si>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</si>
  <si>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</si>
  <si>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</si>
  <si>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</si>
  <si>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</si>
  <si>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</si>
  <si>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</si>
  <si>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</si>
  <si>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</si>
  <si>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</si>
  <si>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</si>
  <si>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</si>
  <si>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</si>
  <si>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</si>
  <si>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</si>
  <si>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</si>
  <si>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</si>
  <si>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</si>
  <si>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</si>
  <si>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</si>
  <si>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</si>
  <si>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</si>
  <si>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</si>
  <si>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</si>
  <si>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</si>
  <si>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</si>
  <si>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</si>
  <si>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</si>
  <si>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</si>
  <si>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</si>
  <si>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</si>
  <si>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</si>
  <si>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</si>
  <si>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</si>
  <si>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</si>
  <si>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</si>
  <si>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</si>
  <si>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</si>
  <si>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</si>
  <si>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</si>
  <si>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</si>
  <si>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</si>
  <si>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</si>
  <si>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</si>
  <si>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</si>
  <si>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</si>
  <si>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</si>
  <si>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</si>
  <si>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</si>
  <si>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</si>
  <si>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</si>
  <si>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</si>
  <si>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</si>
  <si>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</si>
  <si>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</si>
  <si>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</si>
  <si>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</si>
  <si>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</si>
  <si>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</si>
  <si>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</si>
  <si>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</si>
  <si>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</si>
  <si>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</si>
  <si>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</si>
  <si>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</si>
  <si>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</si>
  <si>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</si>
  <si>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</si>
  <si>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</si>
  <si>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</si>
  <si>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</si>
  <si>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</si>
  <si>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</si>
  <si>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</si>
  <si>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</si>
  <si>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</si>
  <si>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</si>
  <si>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</si>
  <si>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</si>
  <si>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</si>
  <si>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</si>
  <si>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</si>
  <si>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</si>
  <si>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</si>
  <si>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</si>
  <si>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</si>
  <si>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</si>
  <si>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</si>
  <si>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</si>
  <si>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</si>
  <si>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</si>
  <si>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</si>
  <si>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</si>
  <si>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</si>
  <si>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</si>
  <si>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</si>
  <si>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</si>
  <si>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</si>
  <si>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</si>
  <si>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</si>
  <si>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</si>
  <si>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</si>
  <si>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</si>
  <si>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</si>
  <si>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</si>
  <si>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</si>
  <si>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</si>
  <si>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</si>
  <si>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</si>
  <si>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</si>
  <si>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</si>
  <si>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</si>
  <si>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</si>
  <si>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</si>
  <si>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</si>
  <si>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</si>
  <si>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</si>
  <si>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</si>
  <si>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</si>
  <si>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</si>
  <si>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</si>
  <si>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</si>
  <si>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</si>
  <si>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</si>
  <si>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</si>
  <si>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</si>
  <si>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</si>
  <si>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</si>
  <si>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</si>
  <si>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</si>
  <si>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</si>
  <si>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</si>
  <si>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</si>
  <si>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</si>
  <si>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</si>
  <si>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</si>
  <si>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</si>
  <si>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</si>
  <si>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</si>
  <si>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</si>
  <si>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</si>
  <si>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</si>
  <si>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</si>
  <si>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</si>
  <si>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</si>
  <si>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</si>
  <si>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</si>
  <si>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</si>
  <si>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</si>
  <si>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</si>
  <si>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</si>
  <si>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</si>
  <si>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</si>
  <si>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</si>
  <si>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</si>
  <si>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</si>
  <si>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</si>
  <si>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</si>
  <si>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</si>
  <si>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</si>
  <si>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</si>
  <si>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</si>
  <si>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</si>
  <si>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</si>
  <si>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</si>
  <si>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</si>
  <si>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</si>
  <si>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</si>
  <si>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</si>
  <si>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</si>
  <si>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</si>
  <si>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</si>
  <si>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</si>
  <si>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</si>
  <si>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</si>
  <si>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</si>
  <si>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</si>
  <si>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</si>
  <si>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</si>
  <si>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</si>
  <si>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</si>
  <si>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</si>
  <si>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</si>
  <si>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</si>
  <si>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</si>
  <si>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</si>
  <si>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</si>
  <si>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</si>
  <si>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</si>
  <si>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</si>
  <si>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</si>
  <si>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</si>
  <si>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</si>
  <si>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</si>
  <si>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</si>
  <si>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</si>
  <si>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</si>
  <si>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</si>
  <si>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</si>
  <si>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</si>
  <si>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</si>
  <si>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</si>
  <si>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</si>
  <si>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</si>
  <si>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</si>
  <si>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</si>
  <si>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</si>
  <si>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</si>
  <si>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</si>
  <si>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</si>
  <si>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</si>
  <si>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</si>
  <si>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</si>
  <si>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</si>
  <si>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</si>
  <si>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</si>
  <si>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</si>
  <si>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</si>
  <si>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</si>
  <si>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</si>
  <si>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</si>
  <si>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</si>
  <si>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</si>
  <si>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</si>
  <si>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</si>
  <si>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</si>
  <si>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</si>
  <si>
    <t>ion</t>
  </si>
  <si>
    <t>Molybdenum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</si>
</sst>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3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6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2" fillId="14" borderId="0" xfId="0" applyFont="1" applyFill="1"/>
    <xf numFmtId="0" fontId="2" fillId="14" borderId="3" xfId="1" applyFont="1" applyFill="1"/>
    <xf numFmtId="164" fontId="2" fillId="14" borderId="0" xfId="0" applyNumberFormat="1" applyFont="1" applyFill="1"/>
    <xf numFmtId="12" fontId="2" fillId="14" borderId="0" xfId="0" applyNumberFormat="1" applyFont="1" applyFill="1"/>
    <xf numFmtId="13" fontId="2" fillId="14" borderId="0" xfId="0" applyNumberFormat="1" applyFont="1" applyFill="1"/>
    <xf numFmtId="0" fontId="1" fillId="15" borderId="3" xfId="1" applyFill="1"/>
    <xf numFmtId="12" fontId="0" fillId="15" borderId="0" xfId="0" applyNumberForma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0"/>
  <sheetViews>
    <sheetView tabSelected="1" topLeftCell="A70" zoomScale="70" zoomScaleNormal="70" workbookViewId="0">
      <selection activeCell="L78" sqref="L78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24" customWidth="1"/>
    <col min="6" max="6" width="16.109375" customWidth="1"/>
    <col min="7" max="7" width="27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25" customWidth="1"/>
    <col min="13" max="13" width="8.77734375" style="18"/>
    <col min="27" max="27" width="8.77734375" customWidth="1"/>
    <col min="34" max="34" width="22.21875" customWidth="1"/>
    <col min="35" max="35" width="31.21875" customWidth="1"/>
    <col min="41" max="41" width="24.77734375" customWidth="1"/>
    <col min="42" max="42" width="18.33203125" customWidth="1"/>
    <col min="43" max="43" width="18.88671875" customWidth="1"/>
    <col min="44" max="44" width="11.21875" bestFit="1" customWidth="1"/>
  </cols>
  <sheetData>
    <row r="1" spans="1:44" x14ac:dyDescent="0.3">
      <c r="A1">
        <v>1</v>
      </c>
      <c r="B1" t="s">
        <v>112</v>
      </c>
      <c r="C1" t="s">
        <v>0</v>
      </c>
      <c r="D1" t="s">
        <v>233</v>
      </c>
      <c r="E1" s="24">
        <v>1</v>
      </c>
      <c r="F1">
        <v>0</v>
      </c>
      <c r="G1">
        <v>1.008</v>
      </c>
      <c r="H1">
        <f>(G1-(A1*'Atomic Particles'!C1))/'Atomic Particles'!C2+A1</f>
        <v>1.0007165767814636</v>
      </c>
      <c r="I1" s="16">
        <f>0.529177210544 * (M1^2 / (A1 - AG1))</f>
        <v>0.52917721054400002</v>
      </c>
      <c r="J1">
        <f>(('Atomic Particles'!C1)*A1)+(('Atomic Particles'!C2)*Elements!F1)</f>
        <v>1.0072772134220349</v>
      </c>
      <c r="K1" s="17">
        <f>(E1^(1/3))*Constants!B2</f>
        <v>1.25E-15</v>
      </c>
      <c r="L1" s="25">
        <v>1</v>
      </c>
      <c r="M1" s="18">
        <v>1</v>
      </c>
      <c r="AF1">
        <v>1</v>
      </c>
      <c r="AG1">
        <f>IF(AF1=1, 0.3 * (M1 - 1),
 IF(AF1=2, 0.35 * (N1 + O1 - 1) + 0.85 * M1,
 IF(AF1=3, 0.35 * (P1 + Q1 - 1) + 0.85 * (N1 + O1) + M1,
 IF(AF1=4, 0.35 * (S1 + T1 - 1) + 0.85 * (P1 + Q1 + R1) + (M1 + N1 + O1),
 IF(AF1=5, 0.35 * (W1 + X1 - 1) + 0.85 * (S1 + T1 + U1) + (M1 + N1 + O1 + P1 + Q1 + R1),
 IF(AF1=6, 0.35 * (AA1 + AB1 - 1) + 0.85 * (W1 + X1 + Y1 + Z1) + (M1 + N1 + O1 + P1 + Q1 + R1 + S1 + T1 + U1 + V1),
 IF(AF1=7, 0.35 * (AD1 + AE1 - 1) + 0.85 * (AA1 + AB1 + AC1) + (M1 + N1 + O1 + P1 + Q1 + R1 + S1 + T1 + U1 + V1 + W1 + X1 + Y1 + Z1), 0)))))))</f>
        <v>0</v>
      </c>
      <c r="AH1" s="16">
        <f>(G1 * 1.6605E-24) / (AI1 * 1E-24)</f>
        <v>2.6965433393613214</v>
      </c>
      <c r="AI1" s="16">
        <f>(4/3) * PI() * (I1^3)</f>
        <v>0.62071466665039299</v>
      </c>
      <c r="AM1" s="15">
        <f>A1 - L1</f>
        <v>0</v>
      </c>
      <c r="AN1">
        <f>A1-AG1</f>
        <v>1</v>
      </c>
      <c r="AO1" s="16">
        <f>4 * PI() * 0.000000000008854 * (I1 * 0.0000000001)^3</f>
        <v>1.6487422975567741E-41</v>
      </c>
      <c r="AP1" s="16">
        <f>AO1 * 10^12</f>
        <v>1.648742297556774E-29</v>
      </c>
      <c r="AQ1" s="16">
        <f>(1 / (2 * PI())) * SQRT((A1 * (1.602E-19^2)) / ((AI1 * 1E-30) * 9.109E-31 * 0.000000000008854))</f>
        <v>1.1395451311376524E+16</v>
      </c>
      <c r="AR1" s="16">
        <f>I1 * 350</f>
        <v>185.2120236904</v>
      </c>
    </row>
    <row r="2" spans="1:44" x14ac:dyDescent="0.3">
      <c r="A2">
        <v>2</v>
      </c>
      <c r="B2" t="s">
        <v>113</v>
      </c>
      <c r="C2" t="s">
        <v>81</v>
      </c>
      <c r="D2" t="s">
        <v>234</v>
      </c>
      <c r="E2" s="24">
        <v>4</v>
      </c>
      <c r="F2">
        <f>E2-A2</f>
        <v>2</v>
      </c>
      <c r="G2">
        <v>4.0026000000000002</v>
      </c>
      <c r="H2">
        <f>(G2-(A2*'Atomic Particles'!C1))/'Atomic Particles'!C2+A2</f>
        <v>3.9709653466806065</v>
      </c>
      <c r="I2" s="16">
        <f t="shared" ref="I2:I65" si="0">0.529 * (M2^2 / (A2 - AG2))</f>
        <v>1.2447058823529413</v>
      </c>
      <c r="J2">
        <f>(('Atomic Particles'!C1)*A2)+(('Atomic Particles'!C2)*Elements!F2)</f>
        <v>4.0318862652795753</v>
      </c>
      <c r="K2" s="17">
        <f>(E2^(1/3))*Constants!B2</f>
        <v>1.9842513149602493E-15</v>
      </c>
      <c r="L2" s="25">
        <v>2</v>
      </c>
      <c r="M2" s="18">
        <v>2</v>
      </c>
      <c r="AF2">
        <v>1</v>
      </c>
      <c r="AG2">
        <f t="shared" ref="AG2:AG65" si="1">IF(AF2=1, 0.3 * (M2 - 1),
 IF(AF2=2, 0.35 * (N2 + O2 - 1) + 0.85 * M2,
 IF(AF2=3, 0.35 * (P2 + Q2 - 1) + 0.85 * (N2 + O2) + M2,
 IF(AF2=4, 0.35 * (S2 + T2 - 1) + 0.85 * (P2 + Q2 + R2) + (M2 + N2 + O2),
 IF(AF2=5, 0.35 * (W2 + X2 - 1) + 0.85 * (S2 + T2 + U2) + (M2 + N2 + O2 + P2 + Q2 + R2),
 IF(AF2=6, 0.35 * (AA2 + AB2 - 1) + 0.85 * (W2 + X2 + Y2 + Z2) + (M2 + N2 + O2 + P2 + Q2 + R2 + S2 + T2 + U2 + V2),
 IF(AF2=7, 0.35 * (AD2 + AE2 - 1) + 0.85 * (AA2 + AB2 + AC2) + (M2 + N2 + O2 + P2 + Q2 + R2 + S2 + T2 + U2 + V2 + W2 + X2 + Y2 + Z2), 0)))))))</f>
        <v>0.3</v>
      </c>
      <c r="AH2" s="16">
        <f t="shared" ref="AH2:AH65" si="2">(G2 * 1.6605E-24) / (AI2 * 1E-24)</f>
        <v>0.82279612124483037</v>
      </c>
      <c r="AI2" s="16">
        <f t="shared" ref="AI2:AI65" si="3">(4/3) * PI() * (I2^3)</f>
        <v>8.0777207480567732</v>
      </c>
      <c r="AM2" s="15">
        <f t="shared" ref="AM2:AM65" si="4">A2 - L2</f>
        <v>0</v>
      </c>
      <c r="AN2">
        <f t="shared" ref="AN2:AN65" si="5">A2-AG2</f>
        <v>1.7</v>
      </c>
      <c r="AO2" s="16">
        <f t="shared" ref="AO2:AO65" si="6">4 * PI() * 0.000000000008854 * (I2 * 0.0000000001)^3</f>
        <v>2.1456041850988406E-40</v>
      </c>
      <c r="AP2" s="16">
        <f t="shared" ref="AP2:AP65" si="7">AO2 * 10^12</f>
        <v>2.1456041850988406E-28</v>
      </c>
      <c r="AQ2" s="16">
        <f t="shared" ref="AQ2:AQ65" si="8">(1 / (2 * PI())) * SQRT((A2 * (1.602E-19^2)) / ((AI2 * 1E-30) * 9.109E-31 * 0.000000000008854))</f>
        <v>4467330811664268.5</v>
      </c>
      <c r="AR2" s="16">
        <f t="shared" ref="AR2:AR66" si="9">I2 * 350</f>
        <v>435.64705882352945</v>
      </c>
    </row>
    <row r="3" spans="1:44" x14ac:dyDescent="0.3">
      <c r="A3">
        <v>3</v>
      </c>
      <c r="B3" t="s">
        <v>114</v>
      </c>
      <c r="C3" t="s">
        <v>1</v>
      </c>
      <c r="D3" t="s">
        <v>235</v>
      </c>
      <c r="E3" s="24">
        <v>7</v>
      </c>
      <c r="F3">
        <f t="shared" ref="F3:F64" si="10">E3-A3</f>
        <v>4</v>
      </c>
      <c r="G3">
        <v>6.94</v>
      </c>
      <c r="H3">
        <f>(G3-(A3*'Atomic Particles'!C1))/'Atomic Particles'!C2+A3</f>
        <v>6.8845055484501145</v>
      </c>
      <c r="I3" s="16">
        <f t="shared" si="0"/>
        <v>1.6276923076923075</v>
      </c>
      <c r="J3">
        <f>(('Atomic Particles'!C1)*A3)+(('Atomic Particles'!C2)*Elements!F3)</f>
        <v>7.0564953171371156</v>
      </c>
      <c r="K3" s="17">
        <f>(E3^(1/3))*Constants!B2</f>
        <v>2.3911639784654861E-15</v>
      </c>
      <c r="L3" s="25">
        <v>3</v>
      </c>
      <c r="M3" s="18">
        <v>2</v>
      </c>
      <c r="N3">
        <v>1</v>
      </c>
      <c r="AF3">
        <v>2</v>
      </c>
      <c r="AG3">
        <f t="shared" si="1"/>
        <v>1.7</v>
      </c>
      <c r="AH3" s="16">
        <f t="shared" si="2"/>
        <v>0.63795905773000861</v>
      </c>
      <c r="AI3" s="16">
        <f t="shared" si="3"/>
        <v>18.063651358763263</v>
      </c>
      <c r="AM3" s="15">
        <f t="shared" si="4"/>
        <v>0</v>
      </c>
      <c r="AN3">
        <f t="shared" si="5"/>
        <v>1.3</v>
      </c>
      <c r="AO3" s="16">
        <f t="shared" si="6"/>
        <v>4.798067073914697E-40</v>
      </c>
      <c r="AP3" s="16">
        <f t="shared" si="7"/>
        <v>4.7980670739146972E-28</v>
      </c>
      <c r="AQ3" s="16">
        <f t="shared" si="8"/>
        <v>3658772360710264</v>
      </c>
      <c r="AR3" s="16">
        <f t="shared" si="9"/>
        <v>569.69230769230762</v>
      </c>
    </row>
    <row r="4" spans="1:44" x14ac:dyDescent="0.3">
      <c r="A4">
        <v>4</v>
      </c>
      <c r="B4" t="s">
        <v>115</v>
      </c>
      <c r="C4" t="s">
        <v>7</v>
      </c>
      <c r="D4" t="s">
        <v>236</v>
      </c>
      <c r="E4" s="24">
        <v>9</v>
      </c>
      <c r="F4">
        <f t="shared" si="10"/>
        <v>5</v>
      </c>
      <c r="G4">
        <v>9.0123300000000004</v>
      </c>
      <c r="H4">
        <f>(G4-(A4*'Atomic Particles'!C1))/'Atomic Particles'!C2+A4</f>
        <v>8.9404079699416048</v>
      </c>
      <c r="I4" s="16">
        <f t="shared" si="0"/>
        <v>1.0851282051282052</v>
      </c>
      <c r="J4">
        <f>(('Atomic Particles'!C1)*A4)+(('Atomic Particles'!C2)*Elements!F4)</f>
        <v>9.0724384497769037</v>
      </c>
      <c r="K4" s="17">
        <f>(E4^(1/3))*Constants!B2</f>
        <v>2.6001047788148802E-15</v>
      </c>
      <c r="L4" s="25">
        <v>4</v>
      </c>
      <c r="M4" s="18">
        <v>2</v>
      </c>
      <c r="N4">
        <v>2</v>
      </c>
      <c r="AF4">
        <v>2</v>
      </c>
      <c r="AG4">
        <f t="shared" si="1"/>
        <v>2.0499999999999998</v>
      </c>
      <c r="AH4" s="16">
        <f t="shared" si="2"/>
        <v>2.7960452805889937</v>
      </c>
      <c r="AI4" s="16">
        <f t="shared" si="3"/>
        <v>5.3521929951891174</v>
      </c>
      <c r="AM4" s="15">
        <f t="shared" si="4"/>
        <v>0</v>
      </c>
      <c r="AN4">
        <f t="shared" si="5"/>
        <v>1.9500000000000002</v>
      </c>
      <c r="AO4" s="16">
        <f t="shared" si="6"/>
        <v>1.4216495033821333E-40</v>
      </c>
      <c r="AP4" s="16">
        <f t="shared" si="7"/>
        <v>1.4216495033821333E-28</v>
      </c>
      <c r="AQ4" s="16">
        <f t="shared" si="8"/>
        <v>7761428241228421</v>
      </c>
      <c r="AR4" s="16">
        <f t="shared" si="9"/>
        <v>379.79487179487182</v>
      </c>
    </row>
    <row r="5" spans="1:44" x14ac:dyDescent="0.3">
      <c r="A5">
        <v>5</v>
      </c>
      <c r="B5" t="s">
        <v>116</v>
      </c>
      <c r="C5" t="s">
        <v>51</v>
      </c>
      <c r="D5" t="s">
        <v>237</v>
      </c>
      <c r="E5" s="24">
        <v>10</v>
      </c>
      <c r="F5">
        <f t="shared" si="10"/>
        <v>5</v>
      </c>
      <c r="G5">
        <v>10.81</v>
      </c>
      <c r="H5">
        <f>(G5-(A5*'Atomic Particles'!C1))/'Atomic Particles'!C2+A5</f>
        <v>10.724010123557477</v>
      </c>
      <c r="I5" s="16">
        <f t="shared" si="0"/>
        <v>0.81384615384615377</v>
      </c>
      <c r="J5">
        <f>(('Atomic Particles'!C1)*A5)+(('Atomic Particles'!C2)*Elements!F5)</f>
        <v>10.07971566319894</v>
      </c>
      <c r="K5" s="17">
        <f>(E5^(1/3))*Constants!B2</f>
        <v>2.6930433625398547E-15</v>
      </c>
      <c r="L5" s="25">
        <v>5</v>
      </c>
      <c r="M5" s="18">
        <v>2</v>
      </c>
      <c r="N5">
        <v>2</v>
      </c>
      <c r="O5">
        <v>1</v>
      </c>
      <c r="AF5">
        <v>2</v>
      </c>
      <c r="AG5">
        <f t="shared" si="1"/>
        <v>2.4</v>
      </c>
      <c r="AH5" s="16">
        <f t="shared" si="2"/>
        <v>7.9496684888315778</v>
      </c>
      <c r="AI5" s="16">
        <f t="shared" si="3"/>
        <v>2.2579564198454078</v>
      </c>
      <c r="AM5" s="15">
        <f t="shared" si="4"/>
        <v>0</v>
      </c>
      <c r="AN5">
        <f t="shared" si="5"/>
        <v>2.6</v>
      </c>
      <c r="AO5" s="16">
        <f t="shared" si="6"/>
        <v>5.9975838423933712E-41</v>
      </c>
      <c r="AP5" s="16">
        <f t="shared" si="7"/>
        <v>5.9975838423933715E-29</v>
      </c>
      <c r="AQ5" s="16">
        <f t="shared" si="8"/>
        <v>1.3359947698249602E+16</v>
      </c>
      <c r="AR5" s="16">
        <f t="shared" si="9"/>
        <v>284.84615384615381</v>
      </c>
    </row>
    <row r="6" spans="1:44" x14ac:dyDescent="0.3">
      <c r="A6">
        <v>6</v>
      </c>
      <c r="B6" t="s">
        <v>117</v>
      </c>
      <c r="C6" t="s">
        <v>61</v>
      </c>
      <c r="D6" t="s">
        <v>233</v>
      </c>
      <c r="E6" s="24">
        <v>12</v>
      </c>
      <c r="F6">
        <f t="shared" si="10"/>
        <v>6</v>
      </c>
      <c r="G6">
        <v>12.010999999999999</v>
      </c>
      <c r="H6">
        <f>(G6-(A6*'Atomic Particles'!C1))/'Atomic Particles'!C2+A6</f>
        <v>11.91606854734977</v>
      </c>
      <c r="I6" s="16">
        <f t="shared" si="0"/>
        <v>0.65107692307692311</v>
      </c>
      <c r="J6">
        <f>(('Atomic Particles'!C1)*A6)+(('Atomic Particles'!C2)*Elements!F6)</f>
        <v>12.095658795838727</v>
      </c>
      <c r="K6" s="17">
        <f>(E6^(1/3))*Constants!B2</f>
        <v>2.8617856063833298E-15</v>
      </c>
      <c r="L6" s="25">
        <v>6</v>
      </c>
      <c r="M6" s="18">
        <v>2</v>
      </c>
      <c r="N6">
        <v>2</v>
      </c>
      <c r="O6">
        <v>2</v>
      </c>
      <c r="AF6">
        <v>2</v>
      </c>
      <c r="AG6">
        <f t="shared" si="1"/>
        <v>2.75</v>
      </c>
      <c r="AH6" s="16">
        <f t="shared" si="2"/>
        <v>17.251725149484713</v>
      </c>
      <c r="AI6" s="16">
        <f t="shared" si="3"/>
        <v>1.1560736869608494</v>
      </c>
      <c r="AM6" s="15">
        <f t="shared" si="4"/>
        <v>0</v>
      </c>
      <c r="AN6">
        <f t="shared" si="5"/>
        <v>3.25</v>
      </c>
      <c r="AO6" s="16">
        <f t="shared" si="6"/>
        <v>3.0707629273054083E-41</v>
      </c>
      <c r="AP6" s="16">
        <f t="shared" si="7"/>
        <v>3.0707629273054083E-29</v>
      </c>
      <c r="AQ6" s="16">
        <f t="shared" si="8"/>
        <v>2.0453159281863824E+16</v>
      </c>
      <c r="AR6" s="16">
        <f t="shared" si="9"/>
        <v>227.87692307692308</v>
      </c>
    </row>
    <row r="7" spans="1:44" x14ac:dyDescent="0.3">
      <c r="A7">
        <v>7</v>
      </c>
      <c r="B7" t="s">
        <v>118</v>
      </c>
      <c r="C7" t="s">
        <v>62</v>
      </c>
      <c r="D7" t="s">
        <v>233</v>
      </c>
      <c r="E7" s="24">
        <v>14</v>
      </c>
      <c r="F7">
        <f t="shared" si="10"/>
        <v>7</v>
      </c>
      <c r="G7">
        <v>14.007</v>
      </c>
      <c r="H7">
        <f>(G7-(A7*'Atomic Particles'!C1))/'Atomic Particles'!C2+A7</f>
        <v>13.896296755461279</v>
      </c>
      <c r="I7" s="16">
        <f t="shared" si="0"/>
        <v>0.54256410256410259</v>
      </c>
      <c r="J7">
        <f>(('Atomic Particles'!C1)*A7)+(('Atomic Particles'!C2)*Elements!F7)</f>
        <v>14.111601928478514</v>
      </c>
      <c r="K7" s="17">
        <f>(E7^(1/3))*Constants!B2</f>
        <v>3.012677830219037E-15</v>
      </c>
      <c r="L7" s="25">
        <v>7</v>
      </c>
      <c r="M7" s="18">
        <v>2</v>
      </c>
      <c r="N7">
        <v>2</v>
      </c>
      <c r="O7">
        <v>3</v>
      </c>
      <c r="AF7">
        <v>2</v>
      </c>
      <c r="AG7">
        <f t="shared" si="1"/>
        <v>3.0999999999999996</v>
      </c>
      <c r="AH7" s="16">
        <f t="shared" si="2"/>
        <v>34.764999723898292</v>
      </c>
      <c r="AI7" s="16">
        <f t="shared" si="3"/>
        <v>0.66902412439863967</v>
      </c>
      <c r="AM7" s="15">
        <f t="shared" si="4"/>
        <v>0</v>
      </c>
      <c r="AN7">
        <f t="shared" si="5"/>
        <v>3.9000000000000004</v>
      </c>
      <c r="AO7" s="16">
        <f t="shared" si="6"/>
        <v>1.7770618792276666E-41</v>
      </c>
      <c r="AP7" s="16">
        <f t="shared" si="7"/>
        <v>1.7770618792276667E-29</v>
      </c>
      <c r="AQ7" s="16">
        <f t="shared" si="8"/>
        <v>2.90406053107082E+16</v>
      </c>
      <c r="AR7" s="16">
        <f t="shared" si="9"/>
        <v>189.89743589743591</v>
      </c>
    </row>
    <row r="8" spans="1:44" x14ac:dyDescent="0.3">
      <c r="A8">
        <v>8</v>
      </c>
      <c r="B8" t="s">
        <v>119</v>
      </c>
      <c r="C8" t="s">
        <v>69</v>
      </c>
      <c r="D8" t="s">
        <v>233</v>
      </c>
      <c r="E8" s="24">
        <v>16</v>
      </c>
      <c r="F8">
        <f t="shared" si="10"/>
        <v>8</v>
      </c>
      <c r="G8">
        <v>15.999000000000001</v>
      </c>
      <c r="H8">
        <f>(G8-(A8*'Atomic Particles'!C1))/'Atomic Particles'!C2+A8</f>
        <v>15.872559329437848</v>
      </c>
      <c r="I8" s="16">
        <f t="shared" si="0"/>
        <v>0.46505494505494505</v>
      </c>
      <c r="J8">
        <f>(('Atomic Particles'!C1)*A8)+(('Atomic Particles'!C2)*Elements!F8)</f>
        <v>16.127545061118301</v>
      </c>
      <c r="K8" s="17">
        <f>(E8^(1/3))*Constants!B2</f>
        <v>3.1498026247371823E-15</v>
      </c>
      <c r="L8" s="25">
        <v>8</v>
      </c>
      <c r="M8" s="18">
        <v>2</v>
      </c>
      <c r="N8">
        <v>2</v>
      </c>
      <c r="O8">
        <v>4</v>
      </c>
      <c r="AF8">
        <v>2</v>
      </c>
      <c r="AG8">
        <f t="shared" si="1"/>
        <v>3.45</v>
      </c>
      <c r="AH8" s="16">
        <f t="shared" si="2"/>
        <v>63.056565001179486</v>
      </c>
      <c r="AI8" s="16">
        <f t="shared" si="3"/>
        <v>0.42130965268252524</v>
      </c>
      <c r="AM8" s="15">
        <f t="shared" si="4"/>
        <v>0</v>
      </c>
      <c r="AN8">
        <f t="shared" si="5"/>
        <v>4.55</v>
      </c>
      <c r="AO8" s="16">
        <f t="shared" si="6"/>
        <v>1.1190826994553236E-41</v>
      </c>
      <c r="AP8" s="16">
        <f t="shared" si="7"/>
        <v>1.1190826994553236E-29</v>
      </c>
      <c r="AQ8" s="16">
        <f t="shared" si="8"/>
        <v>3.91220696849898E+16</v>
      </c>
      <c r="AR8" s="16">
        <f t="shared" si="9"/>
        <v>162.76923076923077</v>
      </c>
    </row>
    <row r="9" spans="1:44" x14ac:dyDescent="0.3">
      <c r="A9">
        <v>9</v>
      </c>
      <c r="B9" t="s">
        <v>120</v>
      </c>
      <c r="C9" t="s">
        <v>226</v>
      </c>
      <c r="D9" t="s">
        <v>238</v>
      </c>
      <c r="E9" s="24">
        <v>19</v>
      </c>
      <c r="F9">
        <f t="shared" si="10"/>
        <v>10</v>
      </c>
      <c r="G9">
        <v>18.998000000000001</v>
      </c>
      <c r="H9">
        <f>(G9-(A9*'Atomic Particles'!C1))/'Atomic Particles'!C2+A9</f>
        <v>18.847170296885423</v>
      </c>
      <c r="I9" s="16">
        <f t="shared" si="0"/>
        <v>0.40692307692307689</v>
      </c>
      <c r="J9">
        <f>(('Atomic Particles'!C1)*A9)+(('Atomic Particles'!C2)*Elements!F9)</f>
        <v>19.152154112975843</v>
      </c>
      <c r="K9" s="17">
        <f>(E9^(1/3))*Constants!B2</f>
        <v>3.3355020609024303E-15</v>
      </c>
      <c r="L9" s="25">
        <v>9</v>
      </c>
      <c r="M9" s="18">
        <v>2</v>
      </c>
      <c r="N9">
        <v>2</v>
      </c>
      <c r="O9">
        <v>5</v>
      </c>
      <c r="AF9">
        <v>2</v>
      </c>
      <c r="AG9">
        <f t="shared" si="1"/>
        <v>3.8</v>
      </c>
      <c r="AH9" s="16">
        <f t="shared" si="2"/>
        <v>111.76895611531717</v>
      </c>
      <c r="AI9" s="16">
        <f t="shared" si="3"/>
        <v>0.28224455248067598</v>
      </c>
      <c r="AM9" s="15">
        <f t="shared" si="4"/>
        <v>0</v>
      </c>
      <c r="AN9">
        <f t="shared" si="5"/>
        <v>5.2</v>
      </c>
      <c r="AO9" s="16">
        <f t="shared" si="6"/>
        <v>7.496979802991714E-42</v>
      </c>
      <c r="AP9" s="16">
        <f t="shared" si="7"/>
        <v>7.4969798029917144E-30</v>
      </c>
      <c r="AQ9" s="16">
        <f t="shared" si="8"/>
        <v>5.0697436976631208E+16</v>
      </c>
      <c r="AR9" s="16">
        <f t="shared" si="9"/>
        <v>142.42307692307691</v>
      </c>
    </row>
    <row r="10" spans="1:44" x14ac:dyDescent="0.3">
      <c r="A10">
        <v>10</v>
      </c>
      <c r="B10" t="s">
        <v>121</v>
      </c>
      <c r="C10" t="s">
        <v>80</v>
      </c>
      <c r="D10" t="s">
        <v>234</v>
      </c>
      <c r="E10" s="24">
        <v>20</v>
      </c>
      <c r="F10">
        <f t="shared" si="10"/>
        <v>10</v>
      </c>
      <c r="G10">
        <v>20.18</v>
      </c>
      <c r="H10">
        <f>(G10-(A10*'Atomic Particles'!C1))/'Atomic Particles'!C2+A10</f>
        <v>20.020391958536752</v>
      </c>
      <c r="I10" s="16">
        <f t="shared" si="0"/>
        <v>0.36170940170940169</v>
      </c>
      <c r="J10">
        <f>(('Atomic Particles'!C1)*A10)+(('Atomic Particles'!C2)*Elements!F10)</f>
        <v>20.159431326397879</v>
      </c>
      <c r="K10" s="17">
        <f>(E10^(1/3))*Constants!B2</f>
        <v>3.3930220207436328E-15</v>
      </c>
      <c r="L10" s="25">
        <v>10</v>
      </c>
      <c r="M10" s="18">
        <v>2</v>
      </c>
      <c r="N10">
        <v>2</v>
      </c>
      <c r="O10">
        <v>6</v>
      </c>
      <c r="AF10">
        <v>2</v>
      </c>
      <c r="AG10">
        <f t="shared" si="1"/>
        <v>4.1499999999999995</v>
      </c>
      <c r="AH10" s="16">
        <f t="shared" si="2"/>
        <v>169.04099512353847</v>
      </c>
      <c r="AI10" s="16">
        <f t="shared" si="3"/>
        <v>0.19822937019218947</v>
      </c>
      <c r="AM10" s="15">
        <f t="shared" si="4"/>
        <v>0</v>
      </c>
      <c r="AN10">
        <f t="shared" si="5"/>
        <v>5.8500000000000005</v>
      </c>
      <c r="AO10" s="16">
        <f t="shared" si="6"/>
        <v>5.2653685310449383E-42</v>
      </c>
      <c r="AP10" s="16">
        <f t="shared" si="7"/>
        <v>5.265368531044938E-30</v>
      </c>
      <c r="AQ10" s="16">
        <f t="shared" si="8"/>
        <v>6.3766639892676832E+16</v>
      </c>
      <c r="AR10" s="16">
        <f t="shared" si="9"/>
        <v>126.59829059829059</v>
      </c>
    </row>
    <row r="11" spans="1:44" x14ac:dyDescent="0.3">
      <c r="A11">
        <v>11</v>
      </c>
      <c r="B11" t="s">
        <v>122</v>
      </c>
      <c r="C11" t="s">
        <v>2</v>
      </c>
      <c r="D11" t="s">
        <v>235</v>
      </c>
      <c r="E11" s="24">
        <v>23</v>
      </c>
      <c r="F11">
        <f t="shared" si="10"/>
        <v>12</v>
      </c>
      <c r="G11">
        <v>22.99</v>
      </c>
      <c r="H11">
        <f>(G11-(A11*'Atomic Particles'!C1))/'Atomic Particles'!C2+A11</f>
        <v>22.807626713108441</v>
      </c>
      <c r="I11" s="16">
        <f t="shared" si="0"/>
        <v>0.96181818181818224</v>
      </c>
      <c r="J11">
        <f>(('Atomic Particles'!C1)*A11)+(('Atomic Particles'!C2)*Elements!F11)</f>
        <v>23.184040378255418</v>
      </c>
      <c r="K11" s="17">
        <f>(E11^(1/3))*Constants!B2</f>
        <v>3.5548337248144571E-15</v>
      </c>
      <c r="L11" s="25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>
        <f t="shared" si="1"/>
        <v>8.8000000000000007</v>
      </c>
      <c r="AH11" s="16">
        <f t="shared" si="2"/>
        <v>10.242601923361741</v>
      </c>
      <c r="AI11" s="16">
        <f t="shared" si="3"/>
        <v>3.7270700634112468</v>
      </c>
      <c r="AM11" s="15">
        <f t="shared" si="4"/>
        <v>0</v>
      </c>
      <c r="AN11">
        <f t="shared" si="5"/>
        <v>2.1999999999999993</v>
      </c>
      <c r="AO11" s="16">
        <f t="shared" si="6"/>
        <v>9.899843502432955E-41</v>
      </c>
      <c r="AP11" s="16">
        <f t="shared" si="7"/>
        <v>9.8998435024329546E-29</v>
      </c>
      <c r="AQ11" s="16">
        <f t="shared" si="8"/>
        <v>1.542375427632688E+16</v>
      </c>
      <c r="AR11" s="16">
        <f t="shared" si="9"/>
        <v>336.6363636363638</v>
      </c>
    </row>
    <row r="12" spans="1:44" x14ac:dyDescent="0.3">
      <c r="A12">
        <v>12</v>
      </c>
      <c r="B12" t="s">
        <v>123</v>
      </c>
      <c r="C12" t="s">
        <v>8</v>
      </c>
      <c r="D12" t="s">
        <v>236</v>
      </c>
      <c r="E12" s="24">
        <v>24</v>
      </c>
      <c r="F12">
        <f t="shared" si="10"/>
        <v>12</v>
      </c>
      <c r="G12">
        <v>24.305</v>
      </c>
      <c r="H12">
        <f>(G12-(A12*'Atomic Particles'!C1))/'Atomic Particles'!C2+A12</f>
        <v>24.112705709746507</v>
      </c>
      <c r="I12" s="16">
        <f t="shared" si="0"/>
        <v>0.74245614035087681</v>
      </c>
      <c r="J12">
        <f>(('Atomic Particles'!C1)*A12)+(('Atomic Particles'!C2)*Elements!F12)</f>
        <v>24.191317591677453</v>
      </c>
      <c r="K12" s="17">
        <f>(E12^(1/3))*Constants!B2</f>
        <v>3.6056239257685206E-15</v>
      </c>
      <c r="L12" s="25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>
        <f t="shared" si="1"/>
        <v>9.1499999999999986</v>
      </c>
      <c r="AH12" s="16">
        <f t="shared" si="2"/>
        <v>23.541465011636546</v>
      </c>
      <c r="AI12" s="16">
        <f t="shared" si="3"/>
        <v>1.7143560300962928</v>
      </c>
      <c r="AM12" s="15">
        <f t="shared" si="4"/>
        <v>0</v>
      </c>
      <c r="AN12">
        <f t="shared" si="5"/>
        <v>2.8500000000000014</v>
      </c>
      <c r="AO12" s="16">
        <f t="shared" si="6"/>
        <v>4.5536724871417738E-41</v>
      </c>
      <c r="AP12" s="16">
        <f t="shared" si="7"/>
        <v>4.5536724871417738E-29</v>
      </c>
      <c r="AQ12" s="16">
        <f t="shared" si="8"/>
        <v>2.375295504898264E+16</v>
      </c>
      <c r="AR12" s="16">
        <f t="shared" si="9"/>
        <v>259.8596491228069</v>
      </c>
    </row>
    <row r="13" spans="1:44" x14ac:dyDescent="0.3">
      <c r="A13">
        <v>13</v>
      </c>
      <c r="B13" t="s">
        <v>124</v>
      </c>
      <c r="C13" t="s">
        <v>52</v>
      </c>
      <c r="D13" t="s">
        <v>239</v>
      </c>
      <c r="E13" s="24">
        <v>27</v>
      </c>
      <c r="F13">
        <f t="shared" si="10"/>
        <v>14</v>
      </c>
      <c r="G13">
        <v>26.981999999999999</v>
      </c>
      <c r="H13">
        <f>(G13-(A13*'Atomic Particles'!C1))/'Atomic Particles'!C2+A13</f>
        <v>26.768083129331455</v>
      </c>
      <c r="I13" s="16">
        <f t="shared" si="0"/>
        <v>0.50380952380952393</v>
      </c>
      <c r="J13">
        <f>(('Atomic Particles'!C1)*A13)+(('Atomic Particles'!C2)*Elements!F13)</f>
        <v>27.215926643534992</v>
      </c>
      <c r="K13" s="17">
        <f>(E13^(1/3))*Constants!B2</f>
        <v>3.7499999999999998E-15</v>
      </c>
      <c r="L13" s="25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>
        <f t="shared" si="1"/>
        <v>8.8000000000000007</v>
      </c>
      <c r="AH13" s="16">
        <f t="shared" si="2"/>
        <v>83.642169638823617</v>
      </c>
      <c r="AI13" s="16">
        <f t="shared" si="3"/>
        <v>0.53565816374045638</v>
      </c>
      <c r="AM13" s="15">
        <f t="shared" si="4"/>
        <v>0</v>
      </c>
      <c r="AN13">
        <f t="shared" si="5"/>
        <v>4.1999999999999993</v>
      </c>
      <c r="AO13" s="16">
        <f t="shared" si="6"/>
        <v>1.4228152145274005E-41</v>
      </c>
      <c r="AP13" s="16">
        <f t="shared" si="7"/>
        <v>1.4228152145274004E-29</v>
      </c>
      <c r="AQ13" s="16">
        <f t="shared" si="8"/>
        <v>4.4228819266075936E+16</v>
      </c>
      <c r="AR13" s="16">
        <f t="shared" si="9"/>
        <v>176.33333333333337</v>
      </c>
    </row>
    <row r="14" spans="1:44" x14ac:dyDescent="0.3">
      <c r="A14">
        <v>14</v>
      </c>
      <c r="B14" t="s">
        <v>125</v>
      </c>
      <c r="C14" t="s">
        <v>60</v>
      </c>
      <c r="D14" t="s">
        <v>237</v>
      </c>
      <c r="E14" s="24">
        <v>28</v>
      </c>
      <c r="F14">
        <f t="shared" si="10"/>
        <v>14</v>
      </c>
      <c r="G14">
        <v>28.085000000000001</v>
      </c>
      <c r="H14">
        <f>(G14-(A14*'Atomic Particles'!C1))/'Atomic Particles'!C2+A14</f>
        <v>27.862983516817732</v>
      </c>
      <c r="I14" s="16">
        <f t="shared" si="0"/>
        <v>0.50987951807228915</v>
      </c>
      <c r="J14">
        <f>(('Atomic Particles'!C1)*A14)+(('Atomic Particles'!C2)*Elements!F14)</f>
        <v>28.223203856957028</v>
      </c>
      <c r="K14" s="17">
        <f>(E14^(1/3))*Constants!B2</f>
        <v>3.7957362148445774E-15</v>
      </c>
      <c r="L14" s="25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>
        <f t="shared" si="1"/>
        <v>9.85</v>
      </c>
      <c r="AH14" s="16">
        <f t="shared" si="2"/>
        <v>83.988920409557778</v>
      </c>
      <c r="AI14" s="16">
        <f t="shared" si="3"/>
        <v>0.55525350573137056</v>
      </c>
      <c r="AM14" s="15">
        <f t="shared" si="4"/>
        <v>0</v>
      </c>
      <c r="AN14">
        <f t="shared" si="5"/>
        <v>4.1500000000000004</v>
      </c>
      <c r="AO14" s="16">
        <f t="shared" si="6"/>
        <v>1.4748643619236667E-41</v>
      </c>
      <c r="AP14" s="16">
        <f t="shared" si="7"/>
        <v>1.4748643619236665E-29</v>
      </c>
      <c r="AQ14" s="16">
        <f t="shared" si="8"/>
        <v>4.5081244520043024E+16</v>
      </c>
      <c r="AR14" s="16">
        <f t="shared" si="9"/>
        <v>178.45783132530121</v>
      </c>
    </row>
    <row r="15" spans="1:44" x14ac:dyDescent="0.3">
      <c r="A15">
        <v>15</v>
      </c>
      <c r="B15" t="s">
        <v>126</v>
      </c>
      <c r="C15" t="s">
        <v>63</v>
      </c>
      <c r="D15" t="s">
        <v>233</v>
      </c>
      <c r="E15" s="24">
        <v>31</v>
      </c>
      <c r="F15">
        <f t="shared" si="10"/>
        <v>16</v>
      </c>
      <c r="G15">
        <v>30.974</v>
      </c>
      <c r="H15">
        <f>(G15-(A15*'Atomic Particles'!C1))/'Atomic Particles'!C2+A15</f>
        <v>30.728539545554472</v>
      </c>
      <c r="I15" s="16">
        <f t="shared" si="0"/>
        <v>0.4408333333333333</v>
      </c>
      <c r="J15">
        <f>(('Atomic Particles'!C1)*A15)+(('Atomic Particles'!C2)*Elements!F15)</f>
        <v>31.247812908814566</v>
      </c>
      <c r="K15" s="17">
        <f>(E15^(1/3))*Constants!B2</f>
        <v>3.9267258154892411E-15</v>
      </c>
      <c r="L15" s="25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>
        <f t="shared" si="1"/>
        <v>10.199999999999999</v>
      </c>
      <c r="AH15" s="16">
        <f t="shared" si="2"/>
        <v>143.32577100262907</v>
      </c>
      <c r="AI15" s="16">
        <f t="shared" si="3"/>
        <v>0.35884912141206321</v>
      </c>
      <c r="AM15" s="15">
        <f t="shared" si="4"/>
        <v>0</v>
      </c>
      <c r="AN15">
        <f t="shared" si="5"/>
        <v>4.8000000000000007</v>
      </c>
      <c r="AO15" s="16">
        <f t="shared" si="6"/>
        <v>9.5317503629472234E-42</v>
      </c>
      <c r="AP15" s="16">
        <f t="shared" si="7"/>
        <v>9.5317503629472232E-30</v>
      </c>
      <c r="AQ15" s="16">
        <f t="shared" si="8"/>
        <v>5.8045321289996072E+16</v>
      </c>
      <c r="AR15" s="16">
        <f t="shared" si="9"/>
        <v>154.29166666666666</v>
      </c>
    </row>
    <row r="16" spans="1:44" x14ac:dyDescent="0.3">
      <c r="A16">
        <v>16</v>
      </c>
      <c r="B16" t="s">
        <v>127</v>
      </c>
      <c r="C16" t="s">
        <v>227</v>
      </c>
      <c r="D16" t="s">
        <v>233</v>
      </c>
      <c r="E16" s="24">
        <v>32</v>
      </c>
      <c r="F16">
        <f t="shared" si="10"/>
        <v>16</v>
      </c>
      <c r="G16">
        <v>32.06</v>
      </c>
      <c r="H16">
        <f>(G16-(A16*'Atomic Particles'!C1))/'Atomic Particles'!C2+A16</f>
        <v>31.806585987967257</v>
      </c>
      <c r="I16" s="16">
        <f t="shared" si="0"/>
        <v>0.38825688073394499</v>
      </c>
      <c r="J16">
        <f>(('Atomic Particles'!C1)*A16)+(('Atomic Particles'!C2)*Elements!F16)</f>
        <v>32.255090122236602</v>
      </c>
      <c r="K16" s="17">
        <f>(E16^(1/3))*Constants!B2</f>
        <v>3.9685026299204986E-15</v>
      </c>
      <c r="L16" s="25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>
        <f t="shared" si="1"/>
        <v>10.55</v>
      </c>
      <c r="AH16" s="16">
        <f t="shared" si="2"/>
        <v>217.14823583091678</v>
      </c>
      <c r="AI16" s="16">
        <f t="shared" si="3"/>
        <v>0.24515801289517325</v>
      </c>
      <c r="AM16" s="15">
        <f t="shared" si="4"/>
        <v>0</v>
      </c>
      <c r="AN16">
        <f t="shared" si="5"/>
        <v>5.4499999999999993</v>
      </c>
      <c r="AO16" s="16">
        <f t="shared" si="6"/>
        <v>6.5118871385215914E-42</v>
      </c>
      <c r="AP16" s="16">
        <f t="shared" si="7"/>
        <v>6.5118871385215909E-30</v>
      </c>
      <c r="AQ16" s="16">
        <f t="shared" si="8"/>
        <v>7.2529465767619856E+16</v>
      </c>
      <c r="AR16" s="16">
        <f t="shared" si="9"/>
        <v>135.88990825688074</v>
      </c>
    </row>
    <row r="17" spans="1:44" x14ac:dyDescent="0.3">
      <c r="A17">
        <v>17</v>
      </c>
      <c r="B17" t="s">
        <v>128</v>
      </c>
      <c r="C17" t="s">
        <v>70</v>
      </c>
      <c r="D17" t="s">
        <v>238</v>
      </c>
      <c r="E17" s="24">
        <v>37</v>
      </c>
      <c r="F17">
        <f t="shared" si="10"/>
        <v>20</v>
      </c>
      <c r="G17">
        <v>35.450000000000003</v>
      </c>
      <c r="H17">
        <f>(G17-(A17*'Atomic Particles'!C1))/'Atomic Particles'!C2+A17</f>
        <v>35.168837692105164</v>
      </c>
      <c r="I17" s="16">
        <f t="shared" si="0"/>
        <v>0.34688524590163927</v>
      </c>
      <c r="J17">
        <f>(('Atomic Particles'!C1)*A17)+(('Atomic Particles'!C2)*Elements!F17)</f>
        <v>37.297031012529651</v>
      </c>
      <c r="K17" s="17">
        <f>(E17^(1/3))*Constants!B2</f>
        <v>4.1652773145574406E-15</v>
      </c>
      <c r="L17" s="25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>
        <f t="shared" si="1"/>
        <v>10.899999999999999</v>
      </c>
      <c r="AH17" s="16">
        <f t="shared" si="2"/>
        <v>336.6735707251247</v>
      </c>
      <c r="AI17" s="16">
        <f t="shared" si="3"/>
        <v>0.1748421323159334</v>
      </c>
      <c r="AM17" s="15">
        <f t="shared" si="4"/>
        <v>0</v>
      </c>
      <c r="AN17">
        <f t="shared" si="5"/>
        <v>6.1000000000000014</v>
      </c>
      <c r="AO17" s="16">
        <f t="shared" si="6"/>
        <v>4.6441567185758244E-42</v>
      </c>
      <c r="AP17" s="16">
        <f t="shared" si="7"/>
        <v>4.6441567185758242E-30</v>
      </c>
      <c r="AQ17" s="16">
        <f t="shared" si="8"/>
        <v>8.8527652278829392E+16</v>
      </c>
      <c r="AR17" s="16">
        <f t="shared" si="9"/>
        <v>121.40983606557374</v>
      </c>
    </row>
    <row r="18" spans="1:44" x14ac:dyDescent="0.3">
      <c r="A18">
        <v>18</v>
      </c>
      <c r="B18" t="s">
        <v>129</v>
      </c>
      <c r="C18" t="s">
        <v>79</v>
      </c>
      <c r="D18" t="s">
        <v>234</v>
      </c>
      <c r="E18" s="24">
        <v>38</v>
      </c>
      <c r="F18">
        <f t="shared" si="10"/>
        <v>20</v>
      </c>
      <c r="G18">
        <v>39.948</v>
      </c>
      <c r="H18">
        <f>(G18-(A18*'Atomic Particles'!C1))/'Atomic Particles'!C2+A18</f>
        <v>39.6295700516213</v>
      </c>
      <c r="I18" s="16">
        <f t="shared" si="0"/>
        <v>0.31348148148148147</v>
      </c>
      <c r="J18">
        <f>(('Atomic Particles'!C1)*A18)+(('Atomic Particles'!C2)*Elements!F18)</f>
        <v>38.304308225951686</v>
      </c>
      <c r="K18" s="17">
        <f>(E18^(1/3))*Constants!B2</f>
        <v>4.202469258498703E-15</v>
      </c>
      <c r="L18" s="25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>
        <f t="shared" si="1"/>
        <v>11.25</v>
      </c>
      <c r="AH18" s="16">
        <f t="shared" si="2"/>
        <v>514.05506217897619</v>
      </c>
      <c r="AI18" s="16">
        <f t="shared" si="3"/>
        <v>0.12903997816658974</v>
      </c>
      <c r="AM18" s="15">
        <f t="shared" si="4"/>
        <v>0</v>
      </c>
      <c r="AN18">
        <f t="shared" si="5"/>
        <v>6.75</v>
      </c>
      <c r="AO18" s="16">
        <f t="shared" si="6"/>
        <v>3.4275599000609571E-42</v>
      </c>
      <c r="AP18" s="16">
        <f t="shared" si="7"/>
        <v>3.4275599000609568E-30</v>
      </c>
      <c r="AQ18" s="16">
        <f t="shared" si="8"/>
        <v>1.0603558717305395E+17</v>
      </c>
      <c r="AR18" s="16">
        <f t="shared" si="9"/>
        <v>109.71851851851852</v>
      </c>
    </row>
    <row r="19" spans="1:44" x14ac:dyDescent="0.3">
      <c r="A19">
        <v>19</v>
      </c>
      <c r="B19" t="s">
        <v>130</v>
      </c>
      <c r="C19" t="s">
        <v>3</v>
      </c>
      <c r="D19" t="s">
        <v>235</v>
      </c>
      <c r="E19" s="24">
        <v>39</v>
      </c>
      <c r="F19">
        <f t="shared" si="10"/>
        <v>20</v>
      </c>
      <c r="G19">
        <v>39.097999999999999</v>
      </c>
      <c r="H19">
        <f>(G19-(A19*'Atomic Particles'!C1))/'Atomic Particles'!C2+A19</f>
        <v>38.788249572723387</v>
      </c>
      <c r="I19" s="16">
        <f t="shared" si="0"/>
        <v>0.96181818181818224</v>
      </c>
      <c r="J19">
        <f>(('Atomic Particles'!C1)*A19)+(('Atomic Particles'!C2)*Elements!F19)</f>
        <v>39.311585439373715</v>
      </c>
      <c r="K19" s="17">
        <f>(E19^(1/3))*Constants!B2</f>
        <v>4.2390143037677072E-15</v>
      </c>
      <c r="L19" s="25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>
        <f t="shared" si="1"/>
        <v>16.8</v>
      </c>
      <c r="AH19" s="16">
        <f t="shared" si="2"/>
        <v>17.419106133083833</v>
      </c>
      <c r="AI19" s="16">
        <f t="shared" si="3"/>
        <v>3.7270700634112468</v>
      </c>
      <c r="AM19" s="15">
        <f t="shared" si="4"/>
        <v>0</v>
      </c>
      <c r="AN19">
        <f t="shared" si="5"/>
        <v>2.1999999999999993</v>
      </c>
      <c r="AO19" s="16">
        <f t="shared" si="6"/>
        <v>9.899843502432955E-41</v>
      </c>
      <c r="AP19" s="16">
        <f t="shared" si="7"/>
        <v>9.8998435024329546E-29</v>
      </c>
      <c r="AQ19" s="16">
        <f t="shared" si="8"/>
        <v>2.0270784448097896E+16</v>
      </c>
      <c r="AR19" s="16">
        <f t="shared" si="9"/>
        <v>336.6363636363638</v>
      </c>
    </row>
    <row r="20" spans="1:44" x14ac:dyDescent="0.3">
      <c r="A20">
        <v>20</v>
      </c>
      <c r="B20" t="s">
        <v>131</v>
      </c>
      <c r="C20" t="s">
        <v>9</v>
      </c>
      <c r="D20" t="s">
        <v>236</v>
      </c>
      <c r="E20" s="24">
        <v>42</v>
      </c>
      <c r="F20">
        <f t="shared" si="10"/>
        <v>22</v>
      </c>
      <c r="G20">
        <v>40.078000000000003</v>
      </c>
      <c r="H20">
        <f>(G20-(A20*'Atomic Particles'!C1))/'Atomic Particles'!C2+A20</f>
        <v>39.761206710560273</v>
      </c>
      <c r="I20" s="16">
        <f t="shared" si="0"/>
        <v>0.74245614035087681</v>
      </c>
      <c r="J20">
        <f>(('Atomic Particles'!C1)*A20)+(('Atomic Particles'!C2)*Elements!F20)</f>
        <v>42.336194491231254</v>
      </c>
      <c r="K20" s="17">
        <f>(E20^(1/3))*Constants!B2</f>
        <v>4.3450333061080621E-15</v>
      </c>
      <c r="L20" s="25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>
        <f t="shared" si="1"/>
        <v>17.149999999999999</v>
      </c>
      <c r="AH20" s="16">
        <f t="shared" si="2"/>
        <v>38.818960491107568</v>
      </c>
      <c r="AI20" s="16">
        <f t="shared" si="3"/>
        <v>1.7143560300962928</v>
      </c>
      <c r="AM20" s="15">
        <f t="shared" si="4"/>
        <v>0</v>
      </c>
      <c r="AN20">
        <f t="shared" si="5"/>
        <v>2.8500000000000014</v>
      </c>
      <c r="AO20" s="16">
        <f t="shared" si="6"/>
        <v>4.5536724871417738E-41</v>
      </c>
      <c r="AP20" s="16">
        <f t="shared" si="7"/>
        <v>4.5536724871417738E-29</v>
      </c>
      <c r="AQ20" s="16">
        <f t="shared" si="8"/>
        <v>3.0664933109307716E+16</v>
      </c>
      <c r="AR20" s="16">
        <f t="shared" si="9"/>
        <v>259.8596491228069</v>
      </c>
    </row>
    <row r="21" spans="1:44" x14ac:dyDescent="0.3">
      <c r="A21">
        <v>21</v>
      </c>
      <c r="B21" t="s">
        <v>132</v>
      </c>
      <c r="C21" t="s">
        <v>13</v>
      </c>
      <c r="D21" t="s">
        <v>240</v>
      </c>
      <c r="E21" s="24">
        <v>45</v>
      </c>
      <c r="F21">
        <f t="shared" si="10"/>
        <v>24</v>
      </c>
      <c r="G21">
        <v>44.956000000000003</v>
      </c>
      <c r="H21">
        <f>(G21-(A21*'Atomic Particles'!C1))/'Atomic Particles'!C2+A21</f>
        <v>44.59867431289566</v>
      </c>
      <c r="I21" s="16">
        <f t="shared" si="0"/>
        <v>0.54961038961038944</v>
      </c>
      <c r="J21">
        <f>(('Atomic Particles'!C1)*A21)+(('Atomic Particles'!C2)*Elements!F21)</f>
        <v>45.360803543088799</v>
      </c>
      <c r="K21" s="17">
        <f>(E21^(1/3))*Constants!B2</f>
        <v>4.4461166306125785E-15</v>
      </c>
      <c r="L21" s="25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>
        <f t="shared" si="1"/>
        <v>17.149999999999999</v>
      </c>
      <c r="AH21" s="16">
        <f t="shared" si="2"/>
        <v>107.34285242147503</v>
      </c>
      <c r="AI21" s="16">
        <f t="shared" si="3"/>
        <v>0.69542998267731559</v>
      </c>
      <c r="AM21" s="15">
        <f t="shared" si="4"/>
        <v>0</v>
      </c>
      <c r="AN21">
        <f t="shared" si="5"/>
        <v>3.8500000000000014</v>
      </c>
      <c r="AO21" s="16">
        <f t="shared" si="6"/>
        <v>1.847201119987486E-41</v>
      </c>
      <c r="AP21" s="16">
        <f t="shared" si="7"/>
        <v>1.847201119987486E-29</v>
      </c>
      <c r="AQ21" s="16">
        <f t="shared" si="8"/>
        <v>4.9335606949696192E+16</v>
      </c>
      <c r="AR21" s="16">
        <f t="shared" si="9"/>
        <v>192.36363636363632</v>
      </c>
    </row>
    <row r="22" spans="1:44" x14ac:dyDescent="0.3">
      <c r="A22">
        <v>22</v>
      </c>
      <c r="B22" t="s">
        <v>133</v>
      </c>
      <c r="C22" t="s">
        <v>15</v>
      </c>
      <c r="D22" t="s">
        <v>240</v>
      </c>
      <c r="E22" s="24">
        <v>49</v>
      </c>
      <c r="F22">
        <f t="shared" si="10"/>
        <v>27</v>
      </c>
      <c r="G22">
        <v>47.866999999999997</v>
      </c>
      <c r="H22">
        <f>(G22-(A22*'Atomic Particles'!C1))/'Atomic Particles'!C2+A22</f>
        <v>47.486041329374565</v>
      </c>
      <c r="I22" s="16">
        <f t="shared" si="0"/>
        <v>0.67174603174603209</v>
      </c>
      <c r="J22">
        <f>(('Atomic Particles'!C1)*A22)+(('Atomic Particles'!C2)*Elements!F22)</f>
        <v>49.394078514164093</v>
      </c>
      <c r="K22" s="17">
        <f>(E22^(1/3))*Constants!B2</f>
        <v>4.5741321375287138E-15</v>
      </c>
      <c r="L22" s="25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>
        <f t="shared" si="1"/>
        <v>18.850000000000001</v>
      </c>
      <c r="AH22" s="16">
        <f t="shared" si="2"/>
        <v>62.599541372918907</v>
      </c>
      <c r="AI22" s="16">
        <f t="shared" si="3"/>
        <v>1.2697082399773794</v>
      </c>
      <c r="AM22" s="15">
        <f t="shared" si="4"/>
        <v>0</v>
      </c>
      <c r="AN22">
        <f t="shared" si="5"/>
        <v>3.1499999999999986</v>
      </c>
      <c r="AO22" s="16">
        <f t="shared" si="6"/>
        <v>3.3725990270279143E-41</v>
      </c>
      <c r="AP22" s="16">
        <f t="shared" si="7"/>
        <v>3.3725990270279144E-29</v>
      </c>
      <c r="AQ22" s="16">
        <f t="shared" si="8"/>
        <v>3.7371188085142136E+16</v>
      </c>
      <c r="AR22" s="16">
        <f t="shared" si="9"/>
        <v>235.11111111111123</v>
      </c>
    </row>
    <row r="23" spans="1:44" x14ac:dyDescent="0.3">
      <c r="A23">
        <v>23</v>
      </c>
      <c r="B23" t="s">
        <v>134</v>
      </c>
      <c r="C23" t="s">
        <v>22</v>
      </c>
      <c r="D23" t="s">
        <v>240</v>
      </c>
      <c r="E23" s="24">
        <v>51</v>
      </c>
      <c r="F23">
        <f t="shared" si="10"/>
        <v>28</v>
      </c>
      <c r="G23">
        <v>50.942</v>
      </c>
      <c r="H23">
        <f>(G23-(A23*'Atomic Particles'!C1))/'Atomic Particles'!C2+A23</f>
        <v>50.535999345385989</v>
      </c>
      <c r="I23" s="16">
        <f t="shared" si="0"/>
        <v>0.64121212121212112</v>
      </c>
      <c r="J23">
        <f>(('Atomic Particles'!C23)*A1)+(('Atomic Particles'!C2)*Elements!F23)</f>
        <v>28.242645738097075</v>
      </c>
      <c r="K23" s="17">
        <f>(E23^(1/3))*Constants!B2</f>
        <v>4.6355372115827367E-15</v>
      </c>
      <c r="L23" s="25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>
        <f t="shared" si="1"/>
        <v>19.7</v>
      </c>
      <c r="AH23" s="16">
        <f t="shared" si="2"/>
        <v>76.598645790871899</v>
      </c>
      <c r="AI23" s="16">
        <f t="shared" si="3"/>
        <v>1.1043170558255526</v>
      </c>
      <c r="AM23" s="15">
        <f t="shared" si="4"/>
        <v>0</v>
      </c>
      <c r="AN23">
        <f t="shared" si="5"/>
        <v>3.3000000000000007</v>
      </c>
      <c r="AO23" s="16">
        <f t="shared" si="6"/>
        <v>2.9332869636838324E-41</v>
      </c>
      <c r="AP23" s="16">
        <f t="shared" si="7"/>
        <v>2.9332869636838326E-29</v>
      </c>
      <c r="AQ23" s="16">
        <f t="shared" si="8"/>
        <v>4.0972697908237688E+16</v>
      </c>
      <c r="AR23" s="16">
        <f t="shared" si="9"/>
        <v>224.42424242424238</v>
      </c>
    </row>
    <row r="24" spans="1:44" x14ac:dyDescent="0.3">
      <c r="A24">
        <v>24</v>
      </c>
      <c r="B24" t="s">
        <v>135</v>
      </c>
      <c r="C24" t="s">
        <v>23</v>
      </c>
      <c r="D24" t="s">
        <v>240</v>
      </c>
      <c r="E24" s="24">
        <v>52</v>
      </c>
      <c r="F24">
        <f t="shared" si="10"/>
        <v>28</v>
      </c>
      <c r="G24">
        <v>51.996000000000002</v>
      </c>
      <c r="H24">
        <f>(G24-(A24*'Atomic Particles'!C1))/'Atomic Particles'!C2+A24</f>
        <v>51.582320714719259</v>
      </c>
      <c r="I24" s="16">
        <f t="shared" si="0"/>
        <v>0.71728813559321969</v>
      </c>
      <c r="J24">
        <f>(('Atomic Particles'!C1)*A24)+(('Atomic Particles'!C2)*Elements!F24)</f>
        <v>52.417298860225912</v>
      </c>
      <c r="K24" s="17">
        <f>(E24^(1/3))*Constants!B2</f>
        <v>4.6656389460215607E-15</v>
      </c>
      <c r="L24" s="25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>
        <f t="shared" si="1"/>
        <v>21.049999999999997</v>
      </c>
      <c r="AH24" s="16">
        <f t="shared" si="2"/>
        <v>55.852068701707317</v>
      </c>
      <c r="AI24" s="16">
        <f t="shared" si="3"/>
        <v>1.5458578349374685</v>
      </c>
      <c r="AM24" s="15">
        <f t="shared" si="4"/>
        <v>0</v>
      </c>
      <c r="AN24">
        <f t="shared" si="5"/>
        <v>2.9500000000000028</v>
      </c>
      <c r="AO24" s="16">
        <f t="shared" si="6"/>
        <v>4.1061075811609035E-41</v>
      </c>
      <c r="AP24" s="16">
        <f t="shared" si="7"/>
        <v>4.1061075811609036E-29</v>
      </c>
      <c r="AQ24" s="16">
        <f t="shared" si="8"/>
        <v>3.5375157216723244E+16</v>
      </c>
      <c r="AR24" s="16">
        <f t="shared" si="9"/>
        <v>251.0508474576269</v>
      </c>
    </row>
    <row r="25" spans="1:44" x14ac:dyDescent="0.3">
      <c r="A25">
        <v>25</v>
      </c>
      <c r="B25" t="s">
        <v>136</v>
      </c>
      <c r="C25" t="s">
        <v>30</v>
      </c>
      <c r="D25" t="s">
        <v>240</v>
      </c>
      <c r="E25" s="24">
        <v>55</v>
      </c>
      <c r="F25">
        <f t="shared" si="10"/>
        <v>30</v>
      </c>
      <c r="G25">
        <v>54.938000000000002</v>
      </c>
      <c r="H25">
        <f>(G25-(A25*'Atomic Particles'!C1))/'Atomic Particles'!C2+A25</f>
        <v>54.500421395743949</v>
      </c>
      <c r="I25" s="16">
        <f t="shared" si="0"/>
        <v>0.58777777777777762</v>
      </c>
      <c r="J25">
        <f>(('Atomic Particles'!C1)*A25)+(('Atomic Particles'!C2)*Elements!F25)</f>
        <v>55.441907912083451</v>
      </c>
      <c r="K25" s="17">
        <f>(E25^(1/3))*Constants!B2</f>
        <v>4.7536905759517394E-15</v>
      </c>
      <c r="L25" s="25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>
        <f t="shared" si="1"/>
        <v>21.4</v>
      </c>
      <c r="AH25" s="16">
        <f t="shared" si="2"/>
        <v>107.24662347767782</v>
      </c>
      <c r="AI25" s="16">
        <f t="shared" si="3"/>
        <v>0.85060532482859375</v>
      </c>
      <c r="AM25" s="15">
        <f t="shared" si="4"/>
        <v>0</v>
      </c>
      <c r="AN25">
        <f t="shared" si="5"/>
        <v>3.6000000000000014</v>
      </c>
      <c r="AO25" s="16">
        <f t="shared" si="6"/>
        <v>2.2593778638097103E-41</v>
      </c>
      <c r="AP25" s="16">
        <f t="shared" si="7"/>
        <v>2.2593778638097104E-29</v>
      </c>
      <c r="AQ25" s="16">
        <f t="shared" si="8"/>
        <v>4.867248156759264E+16</v>
      </c>
      <c r="AR25" s="16">
        <f t="shared" si="9"/>
        <v>205.72222222222217</v>
      </c>
    </row>
    <row r="26" spans="1:44" x14ac:dyDescent="0.3">
      <c r="A26">
        <v>26</v>
      </c>
      <c r="B26" t="s">
        <v>137</v>
      </c>
      <c r="C26" t="s">
        <v>31</v>
      </c>
      <c r="D26" t="s">
        <v>240</v>
      </c>
      <c r="E26" s="24">
        <v>56</v>
      </c>
      <c r="F26">
        <f t="shared" si="10"/>
        <v>30</v>
      </c>
      <c r="G26">
        <v>55.844999999999999</v>
      </c>
      <c r="H26">
        <f>(G26-(A26*'Atomic Particles'!C1))/'Atomic Particles'!C2+A26</f>
        <v>55.401005710618186</v>
      </c>
      <c r="I26" s="16">
        <f t="shared" si="0"/>
        <v>0.56426666666666669</v>
      </c>
      <c r="J26">
        <f>(('Atomic Particles'!C1)*A26)+(('Atomic Particles'!C2)*Elements!F26)</f>
        <v>56.449185125505494</v>
      </c>
      <c r="K26" s="17">
        <f>(E26^(1/3))*Constants!B2</f>
        <v>4.7823279569309731E-15</v>
      </c>
      <c r="L26" s="25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>
        <f t="shared" si="1"/>
        <v>22.25</v>
      </c>
      <c r="AH26" s="16">
        <f t="shared" si="2"/>
        <v>123.22004952196136</v>
      </c>
      <c r="AI26" s="16">
        <f t="shared" si="3"/>
        <v>0.75256115266755153</v>
      </c>
      <c r="AM26" s="15">
        <f t="shared" si="4"/>
        <v>0</v>
      </c>
      <c r="AN26">
        <f t="shared" si="5"/>
        <v>3.75</v>
      </c>
      <c r="AO26" s="16">
        <f t="shared" si="6"/>
        <v>1.9989529337155506E-41</v>
      </c>
      <c r="AP26" s="16">
        <f t="shared" si="7"/>
        <v>1.9989529337155506E-29</v>
      </c>
      <c r="AQ26" s="16">
        <f t="shared" si="8"/>
        <v>5.277075520255188E+16</v>
      </c>
      <c r="AR26" s="16">
        <f t="shared" si="9"/>
        <v>197.49333333333334</v>
      </c>
    </row>
    <row r="27" spans="1:44" x14ac:dyDescent="0.3">
      <c r="A27">
        <v>27</v>
      </c>
      <c r="B27" t="s">
        <v>138</v>
      </c>
      <c r="C27" t="s">
        <v>38</v>
      </c>
      <c r="D27" t="s">
        <v>240</v>
      </c>
      <c r="E27" s="24">
        <v>59</v>
      </c>
      <c r="F27">
        <f t="shared" si="10"/>
        <v>32</v>
      </c>
      <c r="G27">
        <v>58.933</v>
      </c>
      <c r="H27">
        <f>(G27-(A27*'Atomic Particles'!C1))/'Atomic Particles'!C2+A27</f>
        <v>58.463852037568167</v>
      </c>
      <c r="I27" s="16">
        <f t="shared" si="0"/>
        <v>0.54256410256410281</v>
      </c>
      <c r="J27">
        <f>(('Atomic Particles'!C1)*A27)+(('Atomic Particles'!C2)*Elements!F27)</f>
        <v>59.473794177363033</v>
      </c>
      <c r="K27" s="17">
        <f>(E27^(1/3))*Constants!B2</f>
        <v>4.8662455198415752E-15</v>
      </c>
      <c r="L27" s="25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>
        <f t="shared" si="1"/>
        <v>23.1</v>
      </c>
      <c r="AH27" s="16">
        <f t="shared" si="2"/>
        <v>146.27013127211356</v>
      </c>
      <c r="AI27" s="16">
        <f t="shared" si="3"/>
        <v>0.66902412439864067</v>
      </c>
      <c r="AM27" s="15">
        <f t="shared" si="4"/>
        <v>0</v>
      </c>
      <c r="AN27">
        <f t="shared" si="5"/>
        <v>3.8999999999999986</v>
      </c>
      <c r="AO27" s="16">
        <f t="shared" si="6"/>
        <v>1.7770618792276689E-41</v>
      </c>
      <c r="AP27" s="16">
        <f t="shared" si="7"/>
        <v>1.7770618792276689E-29</v>
      </c>
      <c r="AQ27" s="16">
        <f t="shared" si="8"/>
        <v>5.7034616598710056E+16</v>
      </c>
      <c r="AR27" s="16">
        <f t="shared" si="9"/>
        <v>189.897435897436</v>
      </c>
    </row>
    <row r="28" spans="1:44" x14ac:dyDescent="0.3">
      <c r="A28">
        <v>28</v>
      </c>
      <c r="B28" t="s">
        <v>139</v>
      </c>
      <c r="C28" t="s">
        <v>39</v>
      </c>
      <c r="D28" t="s">
        <v>240</v>
      </c>
      <c r="E28" s="24">
        <v>60</v>
      </c>
      <c r="F28">
        <f t="shared" si="10"/>
        <v>32</v>
      </c>
      <c r="G28">
        <v>58.692999999999998</v>
      </c>
      <c r="H28">
        <f>(G28-(A28*'Atomic Particles'!C1))/'Atomic Particles'!C2+A28</f>
        <v>58.227290764248522</v>
      </c>
      <c r="I28" s="16">
        <f t="shared" si="0"/>
        <v>0.52246913580246912</v>
      </c>
      <c r="J28">
        <f>(('Atomic Particles'!C1)*A28)+(('Atomic Particles'!C2)*Elements!F28)</f>
        <v>60.481071390785061</v>
      </c>
      <c r="K28" s="17">
        <f>(E28^(1/3))*Constants!B2</f>
        <v>4.8935845514610794E-15</v>
      </c>
      <c r="L28" s="25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>
        <f t="shared" si="1"/>
        <v>23.95</v>
      </c>
      <c r="AH28" s="16">
        <f t="shared" si="2"/>
        <v>163.13782149608639</v>
      </c>
      <c r="AI28" s="16">
        <f t="shared" si="3"/>
        <v>0.59740730632680439</v>
      </c>
      <c r="AM28" s="15">
        <f t="shared" si="4"/>
        <v>0</v>
      </c>
      <c r="AN28">
        <f t="shared" si="5"/>
        <v>4.0500000000000007</v>
      </c>
      <c r="AO28" s="16">
        <f t="shared" si="6"/>
        <v>1.5868332870652577E-41</v>
      </c>
      <c r="AP28" s="16">
        <f t="shared" si="7"/>
        <v>1.5868332870652577E-29</v>
      </c>
      <c r="AQ28" s="16">
        <f t="shared" si="8"/>
        <v>6.146406568912548E+16</v>
      </c>
      <c r="AR28" s="16">
        <f t="shared" si="9"/>
        <v>182.8641975308642</v>
      </c>
    </row>
    <row r="29" spans="1:44" x14ac:dyDescent="0.3">
      <c r="A29">
        <v>29</v>
      </c>
      <c r="B29" t="s">
        <v>140</v>
      </c>
      <c r="C29" t="s">
        <v>46</v>
      </c>
      <c r="D29" t="s">
        <v>240</v>
      </c>
      <c r="E29" s="24">
        <v>63</v>
      </c>
      <c r="F29">
        <f t="shared" si="10"/>
        <v>34</v>
      </c>
      <c r="G29">
        <v>63.545999999999999</v>
      </c>
      <c r="H29">
        <f>(G29-(A29*'Atomic Particles'!C1))/'Atomic Particles'!C2+A29</f>
        <v>63.039973153240538</v>
      </c>
      <c r="I29" s="16">
        <f t="shared" si="0"/>
        <v>0.57189189189189149</v>
      </c>
      <c r="J29">
        <f>(('Atomic Particles'!C1)*A29)+(('Atomic Particles'!C2)*Elements!F29)</f>
        <v>63.5056804426426</v>
      </c>
      <c r="K29" s="17">
        <f>(E29^(1/3))*Constants!B2</f>
        <v>4.9738215098704893E-15</v>
      </c>
      <c r="L29" s="25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>
        <f t="shared" si="1"/>
        <v>25.299999999999997</v>
      </c>
      <c r="AH29" s="16">
        <f t="shared" si="2"/>
        <v>134.67800396191558</v>
      </c>
      <c r="AI29" s="16">
        <f t="shared" si="3"/>
        <v>0.78348453270690421</v>
      </c>
      <c r="AM29" s="15">
        <f t="shared" si="4"/>
        <v>0</v>
      </c>
      <c r="AN29">
        <f t="shared" si="5"/>
        <v>3.7000000000000028</v>
      </c>
      <c r="AO29" s="16">
        <f t="shared" si="6"/>
        <v>2.0810916157760794E-41</v>
      </c>
      <c r="AP29" s="16">
        <f t="shared" si="7"/>
        <v>2.0810916157760793E-29</v>
      </c>
      <c r="AQ29" s="16">
        <f t="shared" si="8"/>
        <v>5.4621210281397E+16</v>
      </c>
      <c r="AR29" s="16">
        <f t="shared" si="9"/>
        <v>200.16216216216202</v>
      </c>
    </row>
    <row r="30" spans="1:44" x14ac:dyDescent="0.3">
      <c r="A30">
        <v>30</v>
      </c>
      <c r="B30" t="s">
        <v>141</v>
      </c>
      <c r="C30" t="s">
        <v>47</v>
      </c>
      <c r="D30" t="s">
        <v>240</v>
      </c>
      <c r="E30" s="24">
        <v>64</v>
      </c>
      <c r="F30">
        <f t="shared" si="10"/>
        <v>34</v>
      </c>
      <c r="G30">
        <v>65.38</v>
      </c>
      <c r="H30">
        <f>(G30-(A30*'Atomic Particles'!C1))/'Atomic Particles'!C2+A30</f>
        <v>64.859593178886996</v>
      </c>
      <c r="I30" s="16">
        <f t="shared" si="0"/>
        <v>0.48643678160919523</v>
      </c>
      <c r="J30">
        <f>(('Atomic Particles'!C1)*A30)+(('Atomic Particles'!C2)*Elements!F30)</f>
        <v>64.512957656064629</v>
      </c>
      <c r="K30" s="17">
        <f>(E30^(1/3))*Constants!B2</f>
        <v>4.9999999999999992E-15</v>
      </c>
      <c r="L30" s="25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>
        <f t="shared" si="1"/>
        <v>25.65</v>
      </c>
      <c r="AH30" s="16">
        <f t="shared" si="2"/>
        <v>225.17282042313786</v>
      </c>
      <c r="AI30" s="16">
        <f t="shared" si="3"/>
        <v>0.48213407726559016</v>
      </c>
      <c r="AM30" s="15">
        <f t="shared" si="4"/>
        <v>0</v>
      </c>
      <c r="AN30">
        <f t="shared" si="5"/>
        <v>4.3500000000000014</v>
      </c>
      <c r="AO30" s="16">
        <f t="shared" si="6"/>
        <v>1.2806445360328607E-41</v>
      </c>
      <c r="AP30" s="16">
        <f t="shared" si="7"/>
        <v>1.2806445360328606E-29</v>
      </c>
      <c r="AQ30" s="16">
        <f t="shared" si="8"/>
        <v>7.0819726730166888E+16</v>
      </c>
      <c r="AR30" s="16">
        <f t="shared" si="9"/>
        <v>170.25287356321834</v>
      </c>
    </row>
    <row r="31" spans="1:44" x14ac:dyDescent="0.3">
      <c r="A31">
        <v>31</v>
      </c>
      <c r="B31" t="s">
        <v>142</v>
      </c>
      <c r="C31" t="s">
        <v>53</v>
      </c>
      <c r="D31" t="s">
        <v>239</v>
      </c>
      <c r="E31" s="24">
        <v>71</v>
      </c>
      <c r="F31">
        <f t="shared" si="10"/>
        <v>40</v>
      </c>
      <c r="G31">
        <v>69.722999999999999</v>
      </c>
      <c r="H31">
        <f>(G31-(A31*'Atomic Particles'!C1))/'Atomic Particles'!C2+A31</f>
        <v>69.166657215674235</v>
      </c>
      <c r="I31" s="16">
        <f t="shared" si="0"/>
        <v>0.42320000000000002</v>
      </c>
      <c r="J31">
        <f>(('Atomic Particles'!C1)*A31)+(('Atomic Particles'!C2)*Elements!F31)</f>
        <v>71.572230384793187</v>
      </c>
      <c r="K31" s="17">
        <f>(E31^(1/3))*Constants!B2</f>
        <v>5.1760221867785662E-15</v>
      </c>
      <c r="L31" s="25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>
        <f t="shared" si="1"/>
        <v>26</v>
      </c>
      <c r="AH31" s="16">
        <f t="shared" si="2"/>
        <v>364.66103389372142</v>
      </c>
      <c r="AI31" s="16">
        <f t="shared" si="3"/>
        <v>0.31748673628162327</v>
      </c>
      <c r="AM31" s="15">
        <f t="shared" si="4"/>
        <v>0</v>
      </c>
      <c r="AN31">
        <f t="shared" si="5"/>
        <v>5</v>
      </c>
      <c r="AO31" s="16">
        <f t="shared" si="6"/>
        <v>8.433082689112478E-42</v>
      </c>
      <c r="AP31" s="16">
        <f t="shared" si="7"/>
        <v>8.4330826891124781E-30</v>
      </c>
      <c r="AQ31" s="16">
        <f t="shared" si="8"/>
        <v>8.8714699794194208E+16</v>
      </c>
      <c r="AR31" s="16">
        <f t="shared" si="9"/>
        <v>148.12</v>
      </c>
    </row>
    <row r="32" spans="1:44" x14ac:dyDescent="0.3">
      <c r="A32">
        <v>32</v>
      </c>
      <c r="B32" t="s">
        <v>143</v>
      </c>
      <c r="C32" t="s">
        <v>228</v>
      </c>
      <c r="D32" t="s">
        <v>237</v>
      </c>
      <c r="E32" s="24">
        <v>70</v>
      </c>
      <c r="F32">
        <f t="shared" si="10"/>
        <v>38</v>
      </c>
      <c r="G32">
        <v>72.63</v>
      </c>
      <c r="H32">
        <f>(G32-(A32*'Atomic Particles'!C1))/'Atomic Particles'!C2+A32</f>
        <v>72.050058598018182</v>
      </c>
      <c r="I32" s="16">
        <f t="shared" si="0"/>
        <v>0.37451327433628306</v>
      </c>
      <c r="J32">
        <f>(('Atomic Particles'!C1)*A32)+(('Atomic Particles'!C2)*Elements!F32)</f>
        <v>70.56217575977972</v>
      </c>
      <c r="K32" s="17">
        <f>(E32^(1/3))*Constants!B2</f>
        <v>5.1516066247606958E-15</v>
      </c>
      <c r="L32" s="25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>
        <f t="shared" si="1"/>
        <v>26.349999999999998</v>
      </c>
      <c r="AH32" s="16">
        <f t="shared" si="2"/>
        <v>548.10614126820008</v>
      </c>
      <c r="AI32" s="16">
        <f t="shared" si="3"/>
        <v>0.22003423410099468</v>
      </c>
      <c r="AM32" s="15">
        <f t="shared" si="4"/>
        <v>0</v>
      </c>
      <c r="AN32">
        <f t="shared" si="5"/>
        <v>5.6500000000000021</v>
      </c>
      <c r="AO32" s="16">
        <f t="shared" si="6"/>
        <v>5.8445493261906193E-42</v>
      </c>
      <c r="AP32" s="16">
        <f t="shared" si="7"/>
        <v>5.8445493261906194E-30</v>
      </c>
      <c r="AQ32" s="16">
        <f t="shared" si="8"/>
        <v>1.08269815005222E+17</v>
      </c>
      <c r="AR32" s="16">
        <f t="shared" si="9"/>
        <v>131.07964601769908</v>
      </c>
    </row>
    <row r="33" spans="1:44" x14ac:dyDescent="0.3">
      <c r="A33">
        <v>33</v>
      </c>
      <c r="B33" t="s">
        <v>144</v>
      </c>
      <c r="C33" t="s">
        <v>64</v>
      </c>
      <c r="D33" t="s">
        <v>237</v>
      </c>
      <c r="E33" s="24">
        <v>75</v>
      </c>
      <c r="F33">
        <f t="shared" si="10"/>
        <v>42</v>
      </c>
      <c r="G33">
        <v>74.921999999999997</v>
      </c>
      <c r="H33">
        <f>(G33-(A33*'Atomic Particles'!C1))/'Atomic Particles'!C2+A33</f>
        <v>74.323743732115219</v>
      </c>
      <c r="I33" s="16">
        <f t="shared" si="0"/>
        <v>0.33587301587301588</v>
      </c>
      <c r="J33">
        <f>(('Atomic Particles'!C1)*A33)+(('Atomic Particles'!C2)*Elements!F33)</f>
        <v>75.604116650072768</v>
      </c>
      <c r="K33" s="17">
        <f>(E33^(1/3))*Constants!B2</f>
        <v>5.2714541581359321E-15</v>
      </c>
      <c r="L33" s="25">
        <v>33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>
        <f t="shared" si="1"/>
        <v>26.7</v>
      </c>
      <c r="AH33" s="16">
        <f t="shared" si="2"/>
        <v>783.85239747497667</v>
      </c>
      <c r="AI33" s="16">
        <f t="shared" si="3"/>
        <v>0.15871352999717214</v>
      </c>
      <c r="AM33" s="15">
        <f t="shared" si="4"/>
        <v>0</v>
      </c>
      <c r="AN33">
        <f t="shared" si="5"/>
        <v>6.3000000000000007</v>
      </c>
      <c r="AO33" s="16">
        <f t="shared" si="6"/>
        <v>4.2157487837848878E-42</v>
      </c>
      <c r="AP33" s="16">
        <f t="shared" si="7"/>
        <v>4.215748783784888E-30</v>
      </c>
      <c r="AQ33" s="16">
        <f t="shared" si="8"/>
        <v>1.2945759300535779E+17</v>
      </c>
      <c r="AR33" s="16">
        <f t="shared" si="9"/>
        <v>117.55555555555556</v>
      </c>
    </row>
    <row r="34" spans="1:44" x14ac:dyDescent="0.3">
      <c r="A34">
        <v>34</v>
      </c>
      <c r="B34" t="s">
        <v>145</v>
      </c>
      <c r="C34" t="s">
        <v>229</v>
      </c>
      <c r="D34" t="s">
        <v>233</v>
      </c>
      <c r="E34" s="24">
        <v>77</v>
      </c>
      <c r="F34">
        <f t="shared" si="10"/>
        <v>43</v>
      </c>
      <c r="G34">
        <v>78.971000000000004</v>
      </c>
      <c r="H34">
        <f>(G34-(A34*'Atomic Particles'!C1))/'Atomic Particles'!C2+A34</f>
        <v>78.339333659984405</v>
      </c>
      <c r="I34" s="16">
        <f t="shared" si="0"/>
        <v>0.30446043165467612</v>
      </c>
      <c r="J34">
        <f>(('Atomic Particles'!C1)*A34)+(('Atomic Particles'!C2)*Elements!F34)</f>
        <v>77.620059782712559</v>
      </c>
      <c r="K34" s="17">
        <f>(E34^(1/3))*Constants!B2</f>
        <v>5.3179010813937576E-15</v>
      </c>
      <c r="L34" s="25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>
        <f t="shared" si="1"/>
        <v>27.049999999999997</v>
      </c>
      <c r="AH34" s="16">
        <f t="shared" si="2"/>
        <v>1109.2395137350793</v>
      </c>
      <c r="AI34" s="16">
        <f t="shared" si="3"/>
        <v>0.11821734068817014</v>
      </c>
      <c r="AM34" s="15">
        <f t="shared" si="4"/>
        <v>0</v>
      </c>
      <c r="AN34">
        <f t="shared" si="5"/>
        <v>6.9500000000000028</v>
      </c>
      <c r="AO34" s="16">
        <f t="shared" si="6"/>
        <v>3.1400890033591753E-42</v>
      </c>
      <c r="AP34" s="16">
        <f t="shared" si="7"/>
        <v>3.1400890033591753E-30</v>
      </c>
      <c r="AQ34" s="16">
        <f t="shared" si="8"/>
        <v>1.5225669528372662E+17</v>
      </c>
      <c r="AR34" s="16">
        <f t="shared" si="9"/>
        <v>106.56115107913665</v>
      </c>
    </row>
    <row r="35" spans="1:44" x14ac:dyDescent="0.3">
      <c r="A35">
        <v>35</v>
      </c>
      <c r="B35" t="s">
        <v>146</v>
      </c>
      <c r="C35" t="s">
        <v>71</v>
      </c>
      <c r="D35" t="s">
        <v>238</v>
      </c>
      <c r="E35" s="24">
        <v>81</v>
      </c>
      <c r="F35">
        <f t="shared" si="10"/>
        <v>46</v>
      </c>
      <c r="G35">
        <v>79.903999999999996</v>
      </c>
      <c r="H35">
        <f>(G35-(A35*'Atomic Particles'!C1))/'Atomic Particles'!C2+A35</f>
        <v>79.265694596735756</v>
      </c>
      <c r="I35" s="16">
        <f t="shared" si="0"/>
        <v>0.2784210526315789</v>
      </c>
      <c r="J35">
        <f>(('Atomic Particles'!C1)*A35)+(('Atomic Particles'!C2)*Elements!F35)</f>
        <v>81.653334753787846</v>
      </c>
      <c r="K35" s="17">
        <f>(E35^(1/3))*Constants!B2</f>
        <v>5.4084358886527817E-15</v>
      </c>
      <c r="L35" s="25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>
        <f t="shared" si="1"/>
        <v>27.4</v>
      </c>
      <c r="AH35" s="16">
        <f t="shared" si="2"/>
        <v>1467.616473958841</v>
      </c>
      <c r="AI35" s="16">
        <f t="shared" si="3"/>
        <v>9.0405493774609283E-2</v>
      </c>
      <c r="AM35" s="15">
        <f t="shared" si="4"/>
        <v>0</v>
      </c>
      <c r="AN35">
        <f t="shared" si="5"/>
        <v>7.6000000000000014</v>
      </c>
      <c r="AO35" s="16">
        <f t="shared" si="6"/>
        <v>2.401350725641172E-42</v>
      </c>
      <c r="AP35" s="16">
        <f t="shared" si="7"/>
        <v>2.4013507256411722E-30</v>
      </c>
      <c r="AQ35" s="16">
        <f t="shared" si="8"/>
        <v>1.7665020445817344E+17</v>
      </c>
      <c r="AR35" s="16">
        <f t="shared" si="9"/>
        <v>97.447368421052616</v>
      </c>
    </row>
    <row r="36" spans="1:44" x14ac:dyDescent="0.3">
      <c r="A36">
        <v>36</v>
      </c>
      <c r="B36" t="s">
        <v>147</v>
      </c>
      <c r="C36" t="s">
        <v>78</v>
      </c>
      <c r="D36" t="s">
        <v>234</v>
      </c>
      <c r="E36" s="24">
        <v>83</v>
      </c>
      <c r="F36">
        <f t="shared" si="10"/>
        <v>47</v>
      </c>
      <c r="G36">
        <v>83.798000000000002</v>
      </c>
      <c r="H36">
        <f>(G36-(A36*'Atomic Particles'!C1))/'Atomic Particles'!C2+A36</f>
        <v>83.127616201876037</v>
      </c>
      <c r="I36" s="16">
        <f t="shared" si="0"/>
        <v>0.25648484848484848</v>
      </c>
      <c r="J36">
        <f>(('Atomic Particles'!C1)*A36)+(('Atomic Particles'!C2)*Elements!F36)</f>
        <v>83.669277886427636</v>
      </c>
      <c r="K36" s="17">
        <f>(E36^(1/3))*Constants!B2</f>
        <v>5.4525883393185473E-15</v>
      </c>
      <c r="L36" s="25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>
        <f t="shared" si="1"/>
        <v>27.75</v>
      </c>
      <c r="AH36" s="16">
        <f t="shared" si="2"/>
        <v>1968.7872114314694</v>
      </c>
      <c r="AI36" s="16">
        <f t="shared" si="3"/>
        <v>7.0676291572835392E-2</v>
      </c>
      <c r="AM36" s="15">
        <f t="shared" si="4"/>
        <v>0</v>
      </c>
      <c r="AN36">
        <f t="shared" si="5"/>
        <v>8.25</v>
      </c>
      <c r="AO36" s="16">
        <f t="shared" si="6"/>
        <v>1.8773036567576544E-42</v>
      </c>
      <c r="AP36" s="16">
        <f t="shared" si="7"/>
        <v>1.8773036567576544E-30</v>
      </c>
      <c r="AQ36" s="16">
        <f t="shared" si="8"/>
        <v>2.0262447707277248E+17</v>
      </c>
      <c r="AR36" s="16">
        <f t="shared" si="9"/>
        <v>89.769696969696966</v>
      </c>
    </row>
    <row r="37" spans="1:44" x14ac:dyDescent="0.3">
      <c r="A37">
        <v>37</v>
      </c>
      <c r="B37" t="s">
        <v>225</v>
      </c>
      <c r="C37" t="s">
        <v>4</v>
      </c>
      <c r="D37" t="s">
        <v>235</v>
      </c>
      <c r="E37" s="24">
        <v>85</v>
      </c>
      <c r="F37">
        <f t="shared" si="10"/>
        <v>48</v>
      </c>
      <c r="G37">
        <v>85.468000000000004</v>
      </c>
      <c r="H37">
        <f>(G37-(A37*'Atomic Particles'!C1))/'Atomic Particles'!C2+A37</f>
        <v>84.784645227989984</v>
      </c>
      <c r="I37" s="16">
        <f t="shared" si="0"/>
        <v>0.96181818181818068</v>
      </c>
      <c r="J37">
        <f>(('Atomic Particles'!C1)*A37)+(('Atomic Particles'!C2)*Elements!F37)</f>
        <v>85.685221019067427</v>
      </c>
      <c r="K37" s="17">
        <f>(E37^(1/3))*Constants!B2</f>
        <v>5.4960370901977238E-15</v>
      </c>
      <c r="L37" s="25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>
        <f t="shared" si="1"/>
        <v>34.799999999999997</v>
      </c>
      <c r="AH37" s="16">
        <f t="shared" si="2"/>
        <v>38.078064427398246</v>
      </c>
      <c r="AI37" s="16">
        <f t="shared" si="3"/>
        <v>3.7270700634112286</v>
      </c>
      <c r="AM37" s="15">
        <f t="shared" si="4"/>
        <v>0</v>
      </c>
      <c r="AN37">
        <f t="shared" si="5"/>
        <v>2.2000000000000028</v>
      </c>
      <c r="AO37" s="16">
        <f t="shared" si="6"/>
        <v>9.8998435024329081E-41</v>
      </c>
      <c r="AP37" s="16">
        <f t="shared" si="7"/>
        <v>9.8998435024329087E-29</v>
      </c>
      <c r="AQ37" s="16">
        <f t="shared" si="8"/>
        <v>2.8287503265786944E+16</v>
      </c>
      <c r="AR37" s="16">
        <f t="shared" si="9"/>
        <v>336.63636363636323</v>
      </c>
    </row>
    <row r="38" spans="1:44" x14ac:dyDescent="0.3">
      <c r="A38">
        <v>38</v>
      </c>
      <c r="B38" t="s">
        <v>148</v>
      </c>
      <c r="C38" t="s">
        <v>10</v>
      </c>
      <c r="D38" t="s">
        <v>236</v>
      </c>
      <c r="E38" s="24">
        <v>88</v>
      </c>
      <c r="F38">
        <f>E38-A38</f>
        <v>50</v>
      </c>
      <c r="G38">
        <v>87.62</v>
      </c>
      <c r="H38">
        <f>(G38-(A38*'Atomic Particles'!C1))/'Atomic Particles'!C2+A38</f>
        <v>86.919533167364136</v>
      </c>
      <c r="I38" s="16">
        <f t="shared" si="0"/>
        <v>0.74245614035087681</v>
      </c>
      <c r="J38">
        <f>(('Atomic Particles'!C1)*A38)+(('Atomic Particles'!C2)*Elements!F38)</f>
        <v>88.709830070924966</v>
      </c>
      <c r="K38" s="17">
        <f>(E38^(1/3))*Constants!B2</f>
        <v>5.5599502264232888E-15</v>
      </c>
      <c r="L38" s="25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>
        <f t="shared" si="1"/>
        <v>35.15</v>
      </c>
      <c r="AH38" s="16">
        <f t="shared" si="2"/>
        <v>84.867441444953471</v>
      </c>
      <c r="AI38" s="16">
        <f t="shared" si="3"/>
        <v>1.7143560300962928</v>
      </c>
      <c r="AM38" s="15">
        <f t="shared" si="4"/>
        <v>0</v>
      </c>
      <c r="AN38">
        <f t="shared" si="5"/>
        <v>2.8500000000000014</v>
      </c>
      <c r="AO38" s="16">
        <f t="shared" si="6"/>
        <v>4.5536724871417738E-41</v>
      </c>
      <c r="AP38" s="16">
        <f t="shared" si="7"/>
        <v>4.5536724871417738E-29</v>
      </c>
      <c r="AQ38" s="16">
        <f t="shared" si="8"/>
        <v>4.226869329582832E+16</v>
      </c>
      <c r="AR38" s="16">
        <f t="shared" si="9"/>
        <v>259.8596491228069</v>
      </c>
    </row>
    <row r="39" spans="1:44" x14ac:dyDescent="0.3">
      <c r="A39">
        <v>39</v>
      </c>
      <c r="B39" t="s">
        <v>149</v>
      </c>
      <c r="C39" t="s">
        <v>14</v>
      </c>
      <c r="D39" t="s">
        <v>240</v>
      </c>
      <c r="E39" s="24">
        <v>89</v>
      </c>
      <c r="F39">
        <f>E39-A39</f>
        <v>50</v>
      </c>
      <c r="G39">
        <v>88.906000000000006</v>
      </c>
      <c r="H39">
        <f>(G39-(A39*'Atomic Particles'!C1))/'Atomic Particles'!C2+A39</f>
        <v>88.195861316523889</v>
      </c>
      <c r="I39" s="16">
        <f t="shared" si="0"/>
        <v>0.70533333333333337</v>
      </c>
      <c r="J39">
        <f>(('Atomic Particles'!C1)*A39)+(('Atomic Particles'!C2)*Elements!F39)</f>
        <v>89.717107284346994</v>
      </c>
      <c r="K39" s="17">
        <f>(E39^(1/3))*Constants!B2</f>
        <v>5.5809313694806703E-15</v>
      </c>
      <c r="L39" s="25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>
        <f t="shared" si="1"/>
        <v>36</v>
      </c>
      <c r="AH39" s="16">
        <f t="shared" si="2"/>
        <v>100.43801382529038</v>
      </c>
      <c r="AI39" s="16">
        <f t="shared" si="3"/>
        <v>1.4698460013038117</v>
      </c>
      <c r="AM39" s="15">
        <f t="shared" si="4"/>
        <v>0</v>
      </c>
      <c r="AN39">
        <f t="shared" si="5"/>
        <v>3</v>
      </c>
      <c r="AO39" s="16">
        <f t="shared" si="6"/>
        <v>3.9042049486631853E-41</v>
      </c>
      <c r="AP39" s="16">
        <f t="shared" si="7"/>
        <v>3.9042049486631852E-29</v>
      </c>
      <c r="AQ39" s="16">
        <f t="shared" si="8"/>
        <v>4.6245972801633216E+16</v>
      </c>
      <c r="AR39" s="16">
        <f t="shared" si="9"/>
        <v>246.86666666666667</v>
      </c>
    </row>
    <row r="40" spans="1:44" x14ac:dyDescent="0.3">
      <c r="A40">
        <v>40</v>
      </c>
      <c r="B40" t="s">
        <v>150</v>
      </c>
      <c r="C40" t="s">
        <v>16</v>
      </c>
      <c r="D40" t="s">
        <v>240</v>
      </c>
      <c r="E40" s="24">
        <v>88</v>
      </c>
      <c r="F40">
        <f>E40-A40</f>
        <v>48</v>
      </c>
      <c r="G40">
        <v>91.224000000000004</v>
      </c>
      <c r="H40">
        <f>(G40-(A40*'Atomic Particles'!C1))/'Atomic Particles'!C2+A40</f>
        <v>90.495323072498024</v>
      </c>
      <c r="I40" s="16">
        <f t="shared" si="0"/>
        <v>0.67174603174603209</v>
      </c>
      <c r="J40">
        <f>(('Atomic Particles'!C1)*A40)+(('Atomic Particles'!C2)*Elements!F40)</f>
        <v>88.707052659333527</v>
      </c>
      <c r="K40" s="17">
        <f>(E40^(1/3))*Constants!B2</f>
        <v>5.5599502264232888E-15</v>
      </c>
      <c r="L40" s="25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>
        <f t="shared" si="1"/>
        <v>36.85</v>
      </c>
      <c r="AH40" s="16">
        <f t="shared" si="2"/>
        <v>119.30099154330028</v>
      </c>
      <c r="AI40" s="16">
        <f t="shared" si="3"/>
        <v>1.2697082399773794</v>
      </c>
      <c r="AM40" s="15">
        <f t="shared" si="4"/>
        <v>0</v>
      </c>
      <c r="AN40">
        <f t="shared" si="5"/>
        <v>3.1499999999999986</v>
      </c>
      <c r="AO40" s="16">
        <f t="shared" si="6"/>
        <v>3.3725990270279143E-41</v>
      </c>
      <c r="AP40" s="16">
        <f t="shared" si="7"/>
        <v>3.3725990270279144E-29</v>
      </c>
      <c r="AQ40" s="16">
        <f t="shared" si="8"/>
        <v>5.0391299734181552E+16</v>
      </c>
      <c r="AR40" s="16">
        <f t="shared" si="9"/>
        <v>235.11111111111123</v>
      </c>
    </row>
    <row r="41" spans="1:44" x14ac:dyDescent="0.3">
      <c r="A41">
        <v>41</v>
      </c>
      <c r="B41" t="s">
        <v>151</v>
      </c>
      <c r="C41" t="s">
        <v>21</v>
      </c>
      <c r="D41" t="s">
        <v>240</v>
      </c>
      <c r="E41" s="24">
        <v>93</v>
      </c>
      <c r="F41">
        <f t="shared" si="10"/>
        <v>52</v>
      </c>
      <c r="G41">
        <v>92.906000000000006</v>
      </c>
      <c r="H41">
        <f>(G41-(A41*'Atomic Particles'!C1))/'Atomic Particles'!C2+A41</f>
        <v>92.164249001016771</v>
      </c>
      <c r="I41" s="16">
        <f t="shared" si="0"/>
        <v>0.75571428571428645</v>
      </c>
      <c r="J41">
        <f>(('Atomic Particles'!C1)*A41)+(('Atomic Particles'!C2)*Elements!F41)</f>
        <v>93.748993549626576</v>
      </c>
      <c r="K41" s="17">
        <f>(E41^(1/3))*Constants!B2</f>
        <v>5.6633186201043664E-15</v>
      </c>
      <c r="L41" s="25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>
        <f t="shared" si="1"/>
        <v>38.200000000000003</v>
      </c>
      <c r="AH41" s="16">
        <f t="shared" si="2"/>
        <v>85.3338100567954</v>
      </c>
      <c r="AI41" s="16">
        <f t="shared" si="3"/>
        <v>1.8078463026240441</v>
      </c>
      <c r="AM41" s="15">
        <f t="shared" si="4"/>
        <v>0</v>
      </c>
      <c r="AN41">
        <f t="shared" si="5"/>
        <v>2.7999999999999972</v>
      </c>
      <c r="AO41" s="16">
        <f t="shared" si="6"/>
        <v>4.8020013490299857E-41</v>
      </c>
      <c r="AP41" s="16">
        <f t="shared" si="7"/>
        <v>4.8020013490299855E-29</v>
      </c>
      <c r="AQ41" s="16">
        <f t="shared" si="8"/>
        <v>4.2755177051255488E+16</v>
      </c>
      <c r="AR41" s="16">
        <f t="shared" si="9"/>
        <v>264.50000000000028</v>
      </c>
    </row>
    <row r="42" spans="1:44" x14ac:dyDescent="0.3">
      <c r="A42">
        <v>42</v>
      </c>
      <c r="B42" t="s">
        <v>504</v>
      </c>
      <c r="C42" t="s">
        <v>24</v>
      </c>
      <c r="D42" t="s">
        <v>240</v>
      </c>
      <c r="E42" s="24">
        <v>95</v>
      </c>
      <c r="F42">
        <f t="shared" si="10"/>
        <v>53</v>
      </c>
      <c r="G42">
        <v>95.95</v>
      </c>
      <c r="H42">
        <f>(G42-(A42*'Atomic Particles'!C1))/'Atomic Particles'!C2+A42</f>
        <v>95.183473352482423</v>
      </c>
      <c r="I42" s="16">
        <f t="shared" si="0"/>
        <v>0.71728813559321969</v>
      </c>
      <c r="J42">
        <f>(('Atomic Particles'!C1)*A42)+(('Atomic Particles'!C2)*Elements!F42)</f>
        <v>95.764936682266352</v>
      </c>
      <c r="K42" s="17">
        <f>(E42^(1/3))*Constants!B2</f>
        <v>5.7036282942337079E-15</v>
      </c>
      <c r="L42" s="25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>
        <f t="shared" si="1"/>
        <v>39.049999999999997</v>
      </c>
      <c r="AH42" s="16">
        <f t="shared" si="2"/>
        <v>103.06573567060576</v>
      </c>
      <c r="AI42" s="16">
        <f t="shared" si="3"/>
        <v>1.5458578349374685</v>
      </c>
      <c r="AM42" s="15">
        <f t="shared" si="4"/>
        <v>0</v>
      </c>
      <c r="AN42">
        <f t="shared" si="5"/>
        <v>2.9500000000000028</v>
      </c>
      <c r="AO42" s="16">
        <f t="shared" si="6"/>
        <v>4.1061075811609035E-41</v>
      </c>
      <c r="AP42" s="16">
        <f t="shared" si="7"/>
        <v>4.1061075811609036E-29</v>
      </c>
      <c r="AQ42" s="16">
        <f t="shared" si="8"/>
        <v>4.6796934292630768E+16</v>
      </c>
      <c r="AR42" s="16">
        <f t="shared" si="9"/>
        <v>251.0508474576269</v>
      </c>
    </row>
    <row r="43" spans="1:44" x14ac:dyDescent="0.3">
      <c r="A43">
        <v>43</v>
      </c>
      <c r="B43" t="s">
        <v>152</v>
      </c>
      <c r="C43" t="s">
        <v>29</v>
      </c>
      <c r="D43" t="s">
        <v>240</v>
      </c>
      <c r="E43" s="24">
        <v>97</v>
      </c>
      <c r="F43">
        <f t="shared" si="10"/>
        <v>54</v>
      </c>
      <c r="G43">
        <v>98</v>
      </c>
      <c r="H43">
        <f>(G43-(A43*'Atomic Particles'!C1))/'Atomic Particles'!C2+A43</f>
        <v>97.217237621415606</v>
      </c>
      <c r="I43" s="16">
        <f t="shared" si="0"/>
        <v>0.58777777777777762</v>
      </c>
      <c r="J43">
        <f>(('Atomic Particles'!C1)*A43)+(('Atomic Particles'!C2)*Elements!F43)</f>
        <v>97.780879814906143</v>
      </c>
      <c r="K43" s="17">
        <f>(E43^(1/3))*Constants!B2</f>
        <v>5.743376115258799E-15</v>
      </c>
      <c r="L43" s="25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>
        <f t="shared" si="1"/>
        <v>39.4</v>
      </c>
      <c r="AH43" s="16">
        <f t="shared" si="2"/>
        <v>191.30964179279232</v>
      </c>
      <c r="AI43" s="16">
        <f t="shared" si="3"/>
        <v>0.85060532482859375</v>
      </c>
      <c r="AM43" s="15">
        <f t="shared" si="4"/>
        <v>0</v>
      </c>
      <c r="AN43">
        <f t="shared" si="5"/>
        <v>3.6000000000000014</v>
      </c>
      <c r="AO43" s="16">
        <f t="shared" si="6"/>
        <v>2.2593778638097103E-41</v>
      </c>
      <c r="AP43" s="16">
        <f t="shared" si="7"/>
        <v>2.2593778638097104E-29</v>
      </c>
      <c r="AQ43" s="16">
        <f t="shared" si="8"/>
        <v>6.3833361140942216E+16</v>
      </c>
      <c r="AR43" s="16">
        <f t="shared" si="9"/>
        <v>205.72222222222217</v>
      </c>
    </row>
    <row r="44" spans="1:44" x14ac:dyDescent="0.3">
      <c r="A44">
        <v>44</v>
      </c>
      <c r="B44" t="s">
        <v>153</v>
      </c>
      <c r="C44" t="s">
        <v>32</v>
      </c>
      <c r="D44" t="s">
        <v>240</v>
      </c>
      <c r="E44" s="24">
        <v>101</v>
      </c>
      <c r="F44">
        <f t="shared" si="10"/>
        <v>57</v>
      </c>
      <c r="G44">
        <v>101.07</v>
      </c>
      <c r="H44">
        <f>(G44-(A44*'Atomic Particles'!C1))/'Atomic Particles'!C2+A44</f>
        <v>100.26223859475836</v>
      </c>
      <c r="I44" s="16">
        <f t="shared" si="0"/>
        <v>0.65107692307692311</v>
      </c>
      <c r="J44">
        <f>(('Atomic Particles'!C1)*A44)+(('Atomic Particles'!C2)*Elements!F44)</f>
        <v>101.81415478598143</v>
      </c>
      <c r="K44" s="17">
        <f>(E44^(1/3))*Constants!B2</f>
        <v>5.8212618847547935E-15</v>
      </c>
      <c r="L44" s="25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>
        <f t="shared" si="1"/>
        <v>40.75</v>
      </c>
      <c r="AH44" s="16">
        <f t="shared" si="2"/>
        <v>145.1695829538273</v>
      </c>
      <c r="AI44" s="16">
        <f t="shared" si="3"/>
        <v>1.1560736869608494</v>
      </c>
      <c r="AM44" s="15">
        <f t="shared" si="4"/>
        <v>0</v>
      </c>
      <c r="AN44">
        <f t="shared" si="5"/>
        <v>3.25</v>
      </c>
      <c r="AO44" s="16">
        <f t="shared" si="6"/>
        <v>3.0707629273054083E-41</v>
      </c>
      <c r="AP44" s="16">
        <f>AO44 * 10^12</f>
        <v>3.0707629273054083E-29</v>
      </c>
      <c r="AQ44" s="16">
        <f t="shared" si="8"/>
        <v>5.538741716733272E+16</v>
      </c>
      <c r="AR44" s="16">
        <f t="shared" si="9"/>
        <v>227.87692307692308</v>
      </c>
    </row>
    <row r="45" spans="1:44" x14ac:dyDescent="0.3">
      <c r="A45">
        <v>45</v>
      </c>
      <c r="B45" t="s">
        <v>154</v>
      </c>
      <c r="C45" t="s">
        <v>37</v>
      </c>
      <c r="D45" t="s">
        <v>240</v>
      </c>
      <c r="E45" s="24">
        <v>103</v>
      </c>
      <c r="F45">
        <f t="shared" si="10"/>
        <v>58</v>
      </c>
      <c r="G45">
        <v>102.91</v>
      </c>
      <c r="H45">
        <f>(G45-(A45*'Atomic Particles'!C1))/'Atomic Particles'!C2+A45</f>
        <v>102.08780707160723</v>
      </c>
      <c r="I45" s="16">
        <f t="shared" si="0"/>
        <v>0.62235294117647089</v>
      </c>
      <c r="J45">
        <f>(('Atomic Particles'!C1)*A45)+(('Atomic Particles'!C2)*Elements!F45)</f>
        <v>103.83009791862122</v>
      </c>
      <c r="K45" s="17">
        <f>(E45^(1/3))*Constants!B2</f>
        <v>5.8594351845669979E-15</v>
      </c>
      <c r="L45" s="25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>
        <f t="shared" si="1"/>
        <v>41.6</v>
      </c>
      <c r="AH45" s="16">
        <f>(G45 * 1.6605E-24) / (AI45 * 1E-24)</f>
        <v>169.23789304413211</v>
      </c>
      <c r="AI45" s="16">
        <f t="shared" si="3"/>
        <v>1.0097150935070975</v>
      </c>
      <c r="AM45" s="15">
        <f t="shared" si="4"/>
        <v>0</v>
      </c>
      <c r="AN45">
        <f t="shared" si="5"/>
        <v>3.3999999999999986</v>
      </c>
      <c r="AO45" s="16">
        <f t="shared" si="6"/>
        <v>2.6820052313735518E-41</v>
      </c>
      <c r="AP45" s="16">
        <f t="shared" si="7"/>
        <v>2.6820052313735519E-29</v>
      </c>
      <c r="AQ45" s="16">
        <f t="shared" si="8"/>
        <v>5.9935532237163664E+16</v>
      </c>
      <c r="AR45" s="16">
        <f t="shared" si="9"/>
        <v>217.82352941176481</v>
      </c>
    </row>
    <row r="46" spans="1:44" x14ac:dyDescent="0.3">
      <c r="A46">
        <v>46</v>
      </c>
      <c r="B46" t="s">
        <v>155</v>
      </c>
      <c r="C46" t="s">
        <v>40</v>
      </c>
      <c r="D46" t="s">
        <v>240</v>
      </c>
      <c r="E46" s="24">
        <v>105</v>
      </c>
      <c r="F46">
        <f t="shared" si="10"/>
        <v>59</v>
      </c>
      <c r="G46">
        <v>106.42</v>
      </c>
      <c r="H46">
        <f>(G46-(A46*'Atomic Particles'!C1))/'Atomic Particles'!C2+A46</f>
        <v>105.56902779979333</v>
      </c>
      <c r="I46" s="16">
        <f t="shared" si="0"/>
        <v>0.69377049180327932</v>
      </c>
      <c r="J46">
        <f>(('Atomic Particles'!C1)*A46)+(('Atomic Particles'!C2)*Elements!F46)</f>
        <v>105.84604105126101</v>
      </c>
      <c r="K46" s="17">
        <f>(E46^(1/3))*Constants!B2</f>
        <v>5.8971174753956653E-15</v>
      </c>
      <c r="L46" s="25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>
        <f t="shared" si="1"/>
        <v>42.95</v>
      </c>
      <c r="AH46" s="16">
        <f t="shared" si="2"/>
        <v>126.33568898648677</v>
      </c>
      <c r="AI46" s="16">
        <f t="shared" si="3"/>
        <v>1.3987370585274719</v>
      </c>
      <c r="AM46" s="15">
        <f t="shared" si="4"/>
        <v>0</v>
      </c>
      <c r="AN46">
        <f t="shared" si="5"/>
        <v>3.0499999999999972</v>
      </c>
      <c r="AO46" s="16">
        <f t="shared" si="6"/>
        <v>3.7153253748606717E-41</v>
      </c>
      <c r="AP46" s="16">
        <f t="shared" si="7"/>
        <v>3.7153253748606717E-29</v>
      </c>
      <c r="AQ46" s="16">
        <f t="shared" si="8"/>
        <v>5.1485911838612536E+16</v>
      </c>
      <c r="AR46" s="16">
        <f t="shared" si="9"/>
        <v>242.81967213114777</v>
      </c>
    </row>
    <row r="47" spans="1:44" x14ac:dyDescent="0.3">
      <c r="A47">
        <v>47</v>
      </c>
      <c r="B47" t="s">
        <v>156</v>
      </c>
      <c r="C47" t="s">
        <v>45</v>
      </c>
      <c r="D47" t="s">
        <v>240</v>
      </c>
      <c r="E47" s="24">
        <v>109</v>
      </c>
      <c r="F47">
        <f t="shared" si="10"/>
        <v>62</v>
      </c>
      <c r="G47">
        <v>107.87</v>
      </c>
      <c r="H47">
        <f>(G47-(A47*'Atomic Particles'!C1))/'Atomic Particles'!C2+A47</f>
        <v>107.0079469484856</v>
      </c>
      <c r="I47" s="16">
        <f t="shared" si="0"/>
        <v>0.57189189189189149</v>
      </c>
      <c r="J47">
        <f>(('Atomic Particles'!C1)*A47)+(('Atomic Particles'!C2)*Elements!F47)</f>
        <v>109.87931602233631</v>
      </c>
      <c r="K47" s="17">
        <f>(E47^(1/3))*Constants!B2</f>
        <v>5.9710702262937699E-15</v>
      </c>
      <c r="L47" s="25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>
        <f t="shared" si="1"/>
        <v>43.3</v>
      </c>
      <c r="AH47" s="16">
        <f t="shared" si="2"/>
        <v>228.61732111182189</v>
      </c>
      <c r="AI47" s="16">
        <f t="shared" si="3"/>
        <v>0.78348453270690421</v>
      </c>
      <c r="AM47" s="15">
        <f t="shared" si="4"/>
        <v>0</v>
      </c>
      <c r="AN47">
        <f t="shared" si="5"/>
        <v>3.7000000000000028</v>
      </c>
      <c r="AO47" s="16">
        <f t="shared" si="6"/>
        <v>2.0810916157760794E-41</v>
      </c>
      <c r="AP47" s="16">
        <f t="shared" si="7"/>
        <v>2.0810916157760793E-29</v>
      </c>
      <c r="AQ47" s="16">
        <f t="shared" si="8"/>
        <v>6.9536247256356112E+16</v>
      </c>
      <c r="AR47" s="16">
        <f t="shared" si="9"/>
        <v>200.16216216216202</v>
      </c>
    </row>
    <row r="48" spans="1:44" x14ac:dyDescent="0.3">
      <c r="A48">
        <v>48</v>
      </c>
      <c r="B48" t="s">
        <v>157</v>
      </c>
      <c r="C48" t="s">
        <v>48</v>
      </c>
      <c r="D48" t="s">
        <v>240</v>
      </c>
      <c r="E48" s="24">
        <v>111</v>
      </c>
      <c r="F48">
        <f t="shared" si="10"/>
        <v>63</v>
      </c>
      <c r="G48">
        <v>112.41</v>
      </c>
      <c r="H48">
        <f>(G48-(A48*'Atomic Particles'!C1))/'Atomic Particles'!C2+A48</f>
        <v>111.5103184664186</v>
      </c>
      <c r="I48" s="16">
        <f t="shared" si="0"/>
        <v>0.48643678160919523</v>
      </c>
      <c r="J48">
        <f>(('Atomic Particles'!C1)*A48)+(('Atomic Particles'!C2)*Elements!F48)</f>
        <v>111.89525915497609</v>
      </c>
      <c r="K48" s="17">
        <f>(E48^(1/3))*Constants!B2</f>
        <v>6.007369417131666E-15</v>
      </c>
      <c r="L48" s="25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>
        <f t="shared" si="1"/>
        <v>43.65</v>
      </c>
      <c r="AH48" s="16">
        <f t="shared" si="2"/>
        <v>387.1470899933455</v>
      </c>
      <c r="AI48" s="16">
        <f t="shared" si="3"/>
        <v>0.48213407726559016</v>
      </c>
      <c r="AM48" s="15">
        <f t="shared" si="4"/>
        <v>0</v>
      </c>
      <c r="AN48">
        <f t="shared" si="5"/>
        <v>4.3500000000000014</v>
      </c>
      <c r="AO48" s="16">
        <f t="shared" si="6"/>
        <v>1.2806445360328607E-41</v>
      </c>
      <c r="AP48" s="16">
        <f t="shared" si="7"/>
        <v>1.2806445360328606E-29</v>
      </c>
      <c r="AQ48" s="16">
        <f t="shared" si="8"/>
        <v>8.9580655895214464E+16</v>
      </c>
      <c r="AR48" s="16">
        <f t="shared" si="9"/>
        <v>170.25287356321834</v>
      </c>
    </row>
    <row r="49" spans="1:44" x14ac:dyDescent="0.3">
      <c r="A49">
        <v>49</v>
      </c>
      <c r="B49" t="s">
        <v>158</v>
      </c>
      <c r="C49" t="s">
        <v>54</v>
      </c>
      <c r="D49" t="s">
        <v>239</v>
      </c>
      <c r="E49" s="24">
        <v>115</v>
      </c>
      <c r="F49">
        <f t="shared" si="10"/>
        <v>66</v>
      </c>
      <c r="G49">
        <v>114.82</v>
      </c>
      <c r="H49">
        <f>(G49-(A49*'Atomic Particles'!C1))/'Atomic Particles'!C2+A49</f>
        <v>113.90098980749633</v>
      </c>
      <c r="I49" s="16">
        <f t="shared" si="0"/>
        <v>0.42320000000000002</v>
      </c>
      <c r="J49">
        <f>(('Atomic Particles'!C1)*A49)+(('Atomic Particles'!C2)*Elements!F49)</f>
        <v>115.9285341260514</v>
      </c>
      <c r="K49" s="17">
        <f>(E49^(1/3))*Constants!B2</f>
        <v>6.0786801638678501E-15</v>
      </c>
      <c r="L49" s="25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>
        <f t="shared" si="1"/>
        <v>44</v>
      </c>
      <c r="AH49" s="16">
        <f t="shared" si="2"/>
        <v>600.52464626704375</v>
      </c>
      <c r="AI49" s="16">
        <f t="shared" si="3"/>
        <v>0.31748673628162327</v>
      </c>
      <c r="AM49" s="15">
        <f t="shared" si="4"/>
        <v>0</v>
      </c>
      <c r="AN49">
        <f t="shared" si="5"/>
        <v>5</v>
      </c>
      <c r="AO49" s="16">
        <f t="shared" si="6"/>
        <v>8.433082689112478E-42</v>
      </c>
      <c r="AP49" s="16">
        <f t="shared" si="7"/>
        <v>8.4330826891124781E-30</v>
      </c>
      <c r="AQ49" s="16">
        <f t="shared" si="8"/>
        <v>1.1153541315525642E+17</v>
      </c>
      <c r="AR49" s="16">
        <f t="shared" si="9"/>
        <v>148.12</v>
      </c>
    </row>
    <row r="50" spans="1:44" x14ac:dyDescent="0.3">
      <c r="A50">
        <v>50</v>
      </c>
      <c r="B50" t="s">
        <v>159</v>
      </c>
      <c r="C50" t="s">
        <v>58</v>
      </c>
      <c r="D50" t="s">
        <v>239</v>
      </c>
      <c r="E50" s="24">
        <v>117</v>
      </c>
      <c r="F50">
        <f t="shared" si="10"/>
        <v>67</v>
      </c>
      <c r="G50">
        <v>118.71</v>
      </c>
      <c r="H50">
        <f>(G50-(A50*'Atomic Particles'!C1))/'Atomic Particles'!C2+A50</f>
        <v>117.75894577850167</v>
      </c>
      <c r="I50" s="16">
        <f t="shared" si="0"/>
        <v>0.37451327433628284</v>
      </c>
      <c r="J50">
        <f>(('Atomic Particles'!C1)*A50)+(('Atomic Particles'!C2)*Elements!F50)</f>
        <v>117.94447725869118</v>
      </c>
      <c r="K50" s="17">
        <f>(E50^(1/3))*Constants!B2</f>
        <v>6.1137165581359352E-15</v>
      </c>
      <c r="L50" s="25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>
        <f t="shared" si="1"/>
        <v>44.349999999999994</v>
      </c>
      <c r="AH50" s="16">
        <f t="shared" si="2"/>
        <v>895.85130152758029</v>
      </c>
      <c r="AI50" s="16">
        <f t="shared" si="3"/>
        <v>0.22003423410099429</v>
      </c>
      <c r="AM50" s="15">
        <f t="shared" si="4"/>
        <v>0</v>
      </c>
      <c r="AN50">
        <f t="shared" si="5"/>
        <v>5.6500000000000057</v>
      </c>
      <c r="AO50" s="16">
        <f t="shared" si="6"/>
        <v>5.8445493261906116E-42</v>
      </c>
      <c r="AP50" s="16">
        <f t="shared" si="7"/>
        <v>5.8445493261906117E-30</v>
      </c>
      <c r="AQ50" s="16">
        <f t="shared" si="8"/>
        <v>1.353372687565276E+17</v>
      </c>
      <c r="AR50" s="16">
        <f t="shared" si="9"/>
        <v>131.07964601769899</v>
      </c>
    </row>
    <row r="51" spans="1:44" x14ac:dyDescent="0.3">
      <c r="A51">
        <v>51</v>
      </c>
      <c r="B51" t="s">
        <v>160</v>
      </c>
      <c r="C51" t="s">
        <v>65</v>
      </c>
      <c r="D51" t="s">
        <v>237</v>
      </c>
      <c r="E51" s="24">
        <v>125</v>
      </c>
      <c r="F51">
        <f t="shared" si="10"/>
        <v>74</v>
      </c>
      <c r="G51">
        <v>121.76</v>
      </c>
      <c r="H51">
        <f>(G51-(A51*'Atomic Particles'!C1))/'Atomic Particles'!C2+A51</f>
        <v>120.78411858116974</v>
      </c>
      <c r="I51" s="16">
        <f t="shared" si="0"/>
        <v>0.33587301587301605</v>
      </c>
      <c r="J51">
        <f>(('Atomic Particles'!C1)*A51)+(('Atomic Particles'!C2)*Elements!F51)</f>
        <v>126.01241590663747</v>
      </c>
      <c r="K51" s="17">
        <f>(E51^(1/3))*Constants!B2</f>
        <v>6.250000000000001E-15</v>
      </c>
      <c r="L51" s="25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>
        <f t="shared" si="1"/>
        <v>44.7</v>
      </c>
      <c r="AH51" s="16">
        <f t="shared" si="2"/>
        <v>1273.8830772877527</v>
      </c>
      <c r="AI51" s="16">
        <f t="shared" si="3"/>
        <v>0.15871352999717242</v>
      </c>
      <c r="AM51" s="15">
        <f t="shared" si="4"/>
        <v>0</v>
      </c>
      <c r="AN51">
        <f t="shared" si="5"/>
        <v>6.2999999999999972</v>
      </c>
      <c r="AO51" s="16">
        <f t="shared" si="6"/>
        <v>4.2157487837848929E-42</v>
      </c>
      <c r="AP51" s="16">
        <f t="shared" si="7"/>
        <v>4.215748783784893E-30</v>
      </c>
      <c r="AQ51" s="16">
        <f t="shared" si="8"/>
        <v>1.6093690535977533E+17</v>
      </c>
      <c r="AR51" s="16">
        <f t="shared" si="9"/>
        <v>117.55555555555561</v>
      </c>
    </row>
    <row r="52" spans="1:44" x14ac:dyDescent="0.3">
      <c r="A52">
        <v>52</v>
      </c>
      <c r="B52" t="s">
        <v>161</v>
      </c>
      <c r="C52" t="s">
        <v>230</v>
      </c>
      <c r="D52" t="s">
        <v>237</v>
      </c>
      <c r="E52" s="24">
        <v>128</v>
      </c>
      <c r="F52">
        <f t="shared" si="10"/>
        <v>76</v>
      </c>
      <c r="G52">
        <v>127.6</v>
      </c>
      <c r="H52">
        <f>(G52-(A52*'Atomic Particles'!C1))/'Atomic Particles'!C2+A52</f>
        <v>126.57532119295804</v>
      </c>
      <c r="I52" s="16">
        <f t="shared" si="0"/>
        <v>0.30446043165467612</v>
      </c>
      <c r="J52">
        <f>(('Atomic Particles'!C1)*A52)+(('Atomic Particles'!C2)*Elements!F52)</f>
        <v>129.03702495849501</v>
      </c>
      <c r="K52" s="17">
        <f>(E52^(1/3))*Constants!B2</f>
        <v>6.2996052494743645E-15</v>
      </c>
      <c r="L52" s="25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>
        <f t="shared" si="1"/>
        <v>45.05</v>
      </c>
      <c r="AH52" s="16">
        <f t="shared" si="2"/>
        <v>1792.2903591520442</v>
      </c>
      <c r="AI52" s="16">
        <f t="shared" si="3"/>
        <v>0.11821734068817014</v>
      </c>
      <c r="AM52" s="15">
        <f t="shared" si="4"/>
        <v>0</v>
      </c>
      <c r="AN52">
        <f t="shared" si="5"/>
        <v>6.9500000000000028</v>
      </c>
      <c r="AO52" s="16">
        <f t="shared" si="6"/>
        <v>3.1400890033591753E-42</v>
      </c>
      <c r="AP52" s="16">
        <f t="shared" si="7"/>
        <v>3.1400890033591753E-30</v>
      </c>
      <c r="AQ52" s="16">
        <f t="shared" si="8"/>
        <v>1.8829492397749818E+17</v>
      </c>
      <c r="AR52" s="16">
        <f t="shared" si="9"/>
        <v>106.56115107913665</v>
      </c>
    </row>
    <row r="53" spans="1:44" x14ac:dyDescent="0.3">
      <c r="A53">
        <v>53</v>
      </c>
      <c r="B53" t="s">
        <v>162</v>
      </c>
      <c r="C53" t="s">
        <v>72</v>
      </c>
      <c r="D53" t="s">
        <v>238</v>
      </c>
      <c r="E53" s="24">
        <v>127</v>
      </c>
      <c r="F53">
        <f t="shared" si="10"/>
        <v>74</v>
      </c>
      <c r="G53">
        <v>126.9</v>
      </c>
      <c r="H53">
        <f>(G53-(A53*'Atomic Particles'!C1))/'Atomic Particles'!C2+A53</f>
        <v>125.88271199412037</v>
      </c>
      <c r="I53" s="16">
        <f t="shared" si="0"/>
        <v>0.2784210526315789</v>
      </c>
      <c r="J53">
        <f>(('Atomic Particles'!C1)*A53)+(('Atomic Particles'!C2)*Elements!F53)</f>
        <v>128.02697033348153</v>
      </c>
      <c r="K53" s="17">
        <f>(E53^(1/3))*Constants!B2</f>
        <v>6.2831571191418486E-15</v>
      </c>
      <c r="L53" s="25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>
        <f t="shared" si="1"/>
        <v>45.4</v>
      </c>
      <c r="AH53" s="16">
        <f t="shared" si="2"/>
        <v>2330.8035961325704</v>
      </c>
      <c r="AI53" s="16">
        <f t="shared" si="3"/>
        <v>9.0405493774609283E-2</v>
      </c>
      <c r="AM53" s="15">
        <f t="shared" si="4"/>
        <v>0</v>
      </c>
      <c r="AN53">
        <f t="shared" si="5"/>
        <v>7.6000000000000014</v>
      </c>
      <c r="AO53" s="16">
        <f t="shared" si="6"/>
        <v>2.401350725641172E-42</v>
      </c>
      <c r="AP53" s="16">
        <f t="shared" si="7"/>
        <v>2.4013507256411722E-30</v>
      </c>
      <c r="AQ53" s="16">
        <f t="shared" si="8"/>
        <v>2.173792355020577E+17</v>
      </c>
      <c r="AR53" s="16">
        <f t="shared" si="9"/>
        <v>97.447368421052616</v>
      </c>
    </row>
    <row r="54" spans="1:44" x14ac:dyDescent="0.3">
      <c r="A54">
        <v>54</v>
      </c>
      <c r="B54" t="s">
        <v>163</v>
      </c>
      <c r="C54" t="s">
        <v>77</v>
      </c>
      <c r="D54" t="s">
        <v>234</v>
      </c>
      <c r="E54" s="24">
        <v>129</v>
      </c>
      <c r="F54">
        <f t="shared" si="10"/>
        <v>75</v>
      </c>
      <c r="G54">
        <v>131.29</v>
      </c>
      <c r="H54">
        <f>(G54-(A54*'Atomic Particles'!C1))/'Atomic Particles'!C2+A54</f>
        <v>130.23637223199313</v>
      </c>
      <c r="I54" s="16">
        <f>0.529 * (M54^2 / (A54 - AG54))</f>
        <v>0.25648484848484848</v>
      </c>
      <c r="J54">
        <f>(('Atomic Particles'!C1)*A54)+(('Atomic Particles'!C55)*Elements!F2)</f>
        <v>54.392969524789883</v>
      </c>
      <c r="K54" s="17">
        <f>(E54^(1/3))*Constants!B2</f>
        <v>6.3159679340107001E-15</v>
      </c>
      <c r="L54" s="25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>
        <f t="shared" si="1"/>
        <v>45.75</v>
      </c>
      <c r="AH54" s="16">
        <f t="shared" si="2"/>
        <v>3084.5852286312033</v>
      </c>
      <c r="AI54" s="16">
        <f t="shared" si="3"/>
        <v>7.0676291572835392E-2</v>
      </c>
      <c r="AM54" s="15">
        <f t="shared" si="4"/>
        <v>0</v>
      </c>
      <c r="AN54">
        <f t="shared" si="5"/>
        <v>8.25</v>
      </c>
      <c r="AO54" s="16">
        <f t="shared" si="6"/>
        <v>1.8773036567576544E-42</v>
      </c>
      <c r="AP54" s="16">
        <f t="shared" si="7"/>
        <v>1.8773036567576544E-30</v>
      </c>
      <c r="AQ54" s="16">
        <f t="shared" si="8"/>
        <v>2.4816328911328077E+17</v>
      </c>
      <c r="AR54" s="16">
        <f t="shared" si="9"/>
        <v>89.769696969696966</v>
      </c>
    </row>
    <row r="55" spans="1:44" x14ac:dyDescent="0.3">
      <c r="A55">
        <v>55</v>
      </c>
      <c r="B55" t="s">
        <v>164</v>
      </c>
      <c r="C55" t="s">
        <v>5</v>
      </c>
      <c r="D55" t="s">
        <v>235</v>
      </c>
      <c r="E55" s="24">
        <v>133</v>
      </c>
      <c r="F55">
        <f t="shared" si="10"/>
        <v>78</v>
      </c>
      <c r="G55">
        <v>32.909999999999997</v>
      </c>
      <c r="H55">
        <f>(G55-(A55*'Atomic Particles'!C1))/'Atomic Particles'!C2+A55</f>
        <v>32.702977457934033</v>
      </c>
      <c r="I55" s="16">
        <f t="shared" si="0"/>
        <v>0.96181818181818068</v>
      </c>
      <c r="J55">
        <f>(('Atomic Particles'!C1)*A55)+(('Atomic Particles'!C56)*Elements!F2)</f>
        <v>55.400246738211919</v>
      </c>
      <c r="K55" s="17">
        <f>(E55^(1/3))*Constants!B2</f>
        <v>6.3805859025018287E-15</v>
      </c>
      <c r="L55" s="25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>
        <f t="shared" si="1"/>
        <v>52.8</v>
      </c>
      <c r="AH55" s="16">
        <f t="shared" si="2"/>
        <v>14.662202231310854</v>
      </c>
      <c r="AI55" s="16">
        <f t="shared" si="3"/>
        <v>3.7270700634112286</v>
      </c>
      <c r="AM55" s="15">
        <f t="shared" si="4"/>
        <v>0</v>
      </c>
      <c r="AN55">
        <f t="shared" si="5"/>
        <v>2.2000000000000028</v>
      </c>
      <c r="AO55" s="16">
        <f t="shared" si="6"/>
        <v>9.8998435024329081E-41</v>
      </c>
      <c r="AP55" s="16">
        <f t="shared" si="7"/>
        <v>9.8998435024329087E-29</v>
      </c>
      <c r="AQ55" s="16">
        <f t="shared" si="8"/>
        <v>3.448856303012006E+16</v>
      </c>
      <c r="AR55" s="16">
        <f t="shared" si="9"/>
        <v>336.63636363636323</v>
      </c>
    </row>
    <row r="56" spans="1:44" x14ac:dyDescent="0.3">
      <c r="A56">
        <v>56</v>
      </c>
      <c r="B56" t="s">
        <v>165</v>
      </c>
      <c r="C56" t="s">
        <v>11</v>
      </c>
      <c r="D56" t="s">
        <v>236</v>
      </c>
      <c r="E56" s="24">
        <v>135</v>
      </c>
      <c r="F56">
        <f t="shared" si="10"/>
        <v>79</v>
      </c>
      <c r="G56">
        <v>137.33000000000001</v>
      </c>
      <c r="H56">
        <f>(G56-(A56*'Atomic Particles'!C1))/'Atomic Particles'!C2+A56</f>
        <v>136.22723332530518</v>
      </c>
      <c r="I56" s="16">
        <f t="shared" si="0"/>
        <v>0.74245614035087681</v>
      </c>
      <c r="J56">
        <f>(('Atomic Particles'!C1)*A56)+(('Atomic Particles'!C57)*Elements!F2)</f>
        <v>56.407523951633955</v>
      </c>
      <c r="K56" s="17">
        <f>(E56^(1/3))*Constants!B2</f>
        <v>6.4124098000376141E-15</v>
      </c>
      <c r="L56" s="25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>
        <f t="shared" si="1"/>
        <v>53.15</v>
      </c>
      <c r="AH56" s="16">
        <f t="shared" si="2"/>
        <v>133.01581526632575</v>
      </c>
      <c r="AI56" s="16">
        <f t="shared" si="3"/>
        <v>1.7143560300962928</v>
      </c>
      <c r="AM56" s="15">
        <f t="shared" si="4"/>
        <v>0</v>
      </c>
      <c r="AN56">
        <f t="shared" si="5"/>
        <v>2.8500000000000014</v>
      </c>
      <c r="AO56" s="16">
        <f t="shared" si="6"/>
        <v>4.5536724871417738E-41</v>
      </c>
      <c r="AP56" s="16">
        <f t="shared" si="7"/>
        <v>4.5536724871417738E-29</v>
      </c>
      <c r="AQ56" s="16">
        <f>(1 / (2 * PI())) * SQRT((A56 * (1.602E-19^2)) / ((AI56 * 1E-30) * 9.109E-31 * 0.000000000008854))</f>
        <v>5.1312247497798096E+16</v>
      </c>
      <c r="AR56" s="16">
        <f t="shared" si="9"/>
        <v>259.8596491228069</v>
      </c>
    </row>
    <row r="57" spans="1:44" x14ac:dyDescent="0.3">
      <c r="A57">
        <v>57</v>
      </c>
      <c r="B57" t="s">
        <v>166</v>
      </c>
      <c r="C57" t="s">
        <v>82</v>
      </c>
      <c r="D57" t="s">
        <v>241</v>
      </c>
      <c r="E57" s="24">
        <v>138</v>
      </c>
      <c r="F57">
        <f t="shared" si="10"/>
        <v>81</v>
      </c>
      <c r="G57">
        <v>138.91</v>
      </c>
      <c r="H57">
        <f>(G57-(A57*'Atomic Particles'!C1))/'Atomic Particles'!C2+A57</f>
        <v>137.79503558338297</v>
      </c>
      <c r="I57" s="16">
        <f t="shared" si="0"/>
        <v>0.70533333333333337</v>
      </c>
      <c r="J57">
        <f>(('Atomic Particles'!C1)*A57)+(('Atomic Particles'!C58)*Elements!F2)</f>
        <v>57.414801165055991</v>
      </c>
      <c r="K57" s="17">
        <f>(E57^(1/3))*Constants!B2</f>
        <v>6.4595615654545291E-15</v>
      </c>
      <c r="L57" s="25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>
        <f t="shared" si="1"/>
        <v>54</v>
      </c>
      <c r="AH57" s="16">
        <f t="shared" si="2"/>
        <v>156.92804198221816</v>
      </c>
      <c r="AI57" s="16">
        <f t="shared" si="3"/>
        <v>1.4698460013038117</v>
      </c>
      <c r="AM57" s="15">
        <f t="shared" si="4"/>
        <v>0</v>
      </c>
      <c r="AN57">
        <f t="shared" si="5"/>
        <v>3</v>
      </c>
      <c r="AO57" s="16">
        <f t="shared" si="6"/>
        <v>3.9042049486631853E-41</v>
      </c>
      <c r="AP57" s="16">
        <f t="shared" si="7"/>
        <v>3.9042049486631852E-29</v>
      </c>
      <c r="AQ57" s="16">
        <f t="shared" si="8"/>
        <v>5.5908654901075776E+16</v>
      </c>
      <c r="AR57" s="16">
        <f t="shared" si="9"/>
        <v>246.86666666666667</v>
      </c>
    </row>
    <row r="58" spans="1:44" x14ac:dyDescent="0.3">
      <c r="A58">
        <v>58</v>
      </c>
      <c r="B58" t="s">
        <v>167</v>
      </c>
      <c r="C58" t="s">
        <v>84</v>
      </c>
      <c r="D58" t="s">
        <v>241</v>
      </c>
      <c r="E58" s="24">
        <v>138</v>
      </c>
      <c r="F58">
        <f t="shared" si="10"/>
        <v>80</v>
      </c>
      <c r="G58">
        <v>140.12</v>
      </c>
      <c r="H58">
        <f>(G58-(A58*'Atomic Particles'!C1))/'Atomic Particles'!C2+A58</f>
        <v>138.99601668397884</v>
      </c>
      <c r="I58" s="16">
        <f t="shared" si="0"/>
        <v>0.70533333333333337</v>
      </c>
      <c r="J58">
        <f>(('Atomic Particles'!C1)*A58)+(('Atomic Particles'!C59)*Elements!F2)</f>
        <v>58.422078378478027</v>
      </c>
      <c r="K58" s="17">
        <f>(E58^(1/3))*Constants!B2</f>
        <v>6.4595615654545291E-15</v>
      </c>
      <c r="L58" s="25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>
        <f t="shared" si="1"/>
        <v>55</v>
      </c>
      <c r="AH58" s="16">
        <f t="shared" si="2"/>
        <v>158.29499130766979</v>
      </c>
      <c r="AI58" s="16">
        <f t="shared" si="3"/>
        <v>1.4698460013038117</v>
      </c>
      <c r="AM58" s="15">
        <f t="shared" si="4"/>
        <v>0</v>
      </c>
      <c r="AN58">
        <f t="shared" si="5"/>
        <v>3</v>
      </c>
      <c r="AO58" s="16">
        <f t="shared" si="6"/>
        <v>3.9042049486631853E-41</v>
      </c>
      <c r="AP58" s="16">
        <f t="shared" si="7"/>
        <v>3.9042049486631852E-29</v>
      </c>
      <c r="AQ58" s="16">
        <f t="shared" si="8"/>
        <v>5.6396949367720776E+16</v>
      </c>
      <c r="AR58" s="16">
        <f t="shared" si="9"/>
        <v>246.86666666666667</v>
      </c>
    </row>
    <row r="59" spans="1:44" x14ac:dyDescent="0.3">
      <c r="A59">
        <v>59</v>
      </c>
      <c r="B59" t="s">
        <v>168</v>
      </c>
      <c r="C59" t="s">
        <v>85</v>
      </c>
      <c r="D59" t="s">
        <v>241</v>
      </c>
      <c r="E59" s="24">
        <v>141</v>
      </c>
      <c r="F59">
        <f t="shared" si="10"/>
        <v>82</v>
      </c>
      <c r="G59">
        <v>140.91</v>
      </c>
      <c r="H59">
        <f>(G59-(A59*'Atomic Particles'!C1))/'Atomic Particles'!C2+A59</f>
        <v>139.78060620040611</v>
      </c>
      <c r="I59" s="16">
        <f t="shared" si="0"/>
        <v>0.74245614035087681</v>
      </c>
      <c r="J59">
        <f>(('Atomic Particles'!C1)*A59)+(('Atomic Particles'!C2)*Elements!F59)</f>
        <v>142.13996096775577</v>
      </c>
      <c r="K59" s="17">
        <f>(E59^(1/3))*Constants!B2</f>
        <v>6.5060348292427508E-15</v>
      </c>
      <c r="L59" s="25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>
        <f t="shared" si="1"/>
        <v>56.15</v>
      </c>
      <c r="AH59" s="16">
        <f t="shared" si="2"/>
        <v>136.483350536503</v>
      </c>
      <c r="AI59" s="16">
        <f t="shared" si="3"/>
        <v>1.7143560300962928</v>
      </c>
      <c r="AM59" s="15">
        <f t="shared" si="4"/>
        <v>0</v>
      </c>
      <c r="AN59">
        <f t="shared" si="5"/>
        <v>2.8500000000000014</v>
      </c>
      <c r="AO59" s="16">
        <f t="shared" si="6"/>
        <v>4.5536724871417738E-41</v>
      </c>
      <c r="AP59" s="16">
        <f t="shared" si="7"/>
        <v>4.5536724871417738E-29</v>
      </c>
      <c r="AQ59" s="16">
        <f t="shared" si="8"/>
        <v>5.2668752231897744E+16</v>
      </c>
      <c r="AR59" s="16">
        <f t="shared" si="9"/>
        <v>259.8596491228069</v>
      </c>
    </row>
    <row r="60" spans="1:44" x14ac:dyDescent="0.3">
      <c r="A60">
        <v>60</v>
      </c>
      <c r="B60" t="s">
        <v>466</v>
      </c>
      <c r="C60" t="s">
        <v>86</v>
      </c>
      <c r="D60" t="s">
        <v>241</v>
      </c>
      <c r="E60" s="24">
        <v>143</v>
      </c>
      <c r="F60">
        <f t="shared" si="10"/>
        <v>83</v>
      </c>
      <c r="G60">
        <v>144.24</v>
      </c>
      <c r="H60">
        <f>(G60-(A60*'Atomic Particles'!C1))/'Atomic Particles'!C2+A60</f>
        <v>143.08337339251995</v>
      </c>
      <c r="I60" s="16">
        <f t="shared" si="0"/>
        <v>0.74245614035087681</v>
      </c>
      <c r="J60">
        <f>(('Atomic Particles'!C1)*A60)+(('Atomic Particles'!C2)*Elements!F60)</f>
        <v>144.15590410039556</v>
      </c>
      <c r="K60" s="17">
        <f>(E60^(1/3))*Constants!B2</f>
        <v>6.5366519146949789E-15</v>
      </c>
      <c r="L60" s="25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>
        <f t="shared" si="1"/>
        <v>57.15</v>
      </c>
      <c r="AH60" s="16">
        <f t="shared" si="2"/>
        <v>139.70873948893049</v>
      </c>
      <c r="AI60" s="16">
        <f t="shared" si="3"/>
        <v>1.7143560300962928</v>
      </c>
      <c r="AM60" s="15">
        <f t="shared" si="4"/>
        <v>0</v>
      </c>
      <c r="AN60">
        <f t="shared" si="5"/>
        <v>2.8500000000000014</v>
      </c>
      <c r="AO60" s="16">
        <f t="shared" si="6"/>
        <v>4.5536724871417738E-41</v>
      </c>
      <c r="AP60" s="16">
        <f t="shared" si="7"/>
        <v>4.5536724871417738E-29</v>
      </c>
      <c r="AQ60" s="16">
        <f t="shared" si="8"/>
        <v>5.311322215602204E+16</v>
      </c>
      <c r="AR60" s="16">
        <f t="shared" si="9"/>
        <v>259.8596491228069</v>
      </c>
    </row>
    <row r="61" spans="1:44" x14ac:dyDescent="0.3">
      <c r="A61">
        <v>61</v>
      </c>
      <c r="B61" t="s">
        <v>171</v>
      </c>
      <c r="C61" t="s">
        <v>87</v>
      </c>
      <c r="D61" t="s">
        <v>241</v>
      </c>
      <c r="E61" s="24">
        <v>145</v>
      </c>
      <c r="F61">
        <f t="shared" si="10"/>
        <v>84</v>
      </c>
      <c r="G61">
        <v>145</v>
      </c>
      <c r="H61">
        <f>(G61-(A61*'Atomic Particles'!C1))/'Atomic Particles'!C2+A61</f>
        <v>143.83822065293515</v>
      </c>
      <c r="I61" s="16">
        <f t="shared" si="0"/>
        <v>0.74245614035087681</v>
      </c>
      <c r="J61">
        <f>(('Atomic Particles'!C1)*A61)+(('Atomic Particles'!C2)*Elements!F61)</f>
        <v>146.17184723303535</v>
      </c>
      <c r="K61" s="17">
        <f>(E61^(1/3))*Constants!B2</f>
        <v>6.5669848406161256E-15</v>
      </c>
      <c r="L61" s="25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>
        <f t="shared" si="1"/>
        <v>58.15</v>
      </c>
      <c r="AH61" s="16">
        <f t="shared" si="2"/>
        <v>140.4448642948899</v>
      </c>
      <c r="AI61" s="16">
        <f t="shared" si="3"/>
        <v>1.7143560300962928</v>
      </c>
      <c r="AM61" s="15">
        <f t="shared" si="4"/>
        <v>0</v>
      </c>
      <c r="AN61">
        <f t="shared" si="5"/>
        <v>2.8500000000000014</v>
      </c>
      <c r="AO61" s="16">
        <f t="shared" si="6"/>
        <v>4.5536724871417738E-41</v>
      </c>
      <c r="AP61" s="16">
        <f t="shared" si="7"/>
        <v>4.5536724871417738E-29</v>
      </c>
      <c r="AQ61" s="16">
        <f t="shared" si="8"/>
        <v>5.355400334171916E+16</v>
      </c>
      <c r="AR61" s="16">
        <f t="shared" si="9"/>
        <v>259.8596491228069</v>
      </c>
    </row>
    <row r="62" spans="1:44" x14ac:dyDescent="0.3">
      <c r="A62">
        <v>62</v>
      </c>
      <c r="B62" t="s">
        <v>169</v>
      </c>
      <c r="C62" t="s">
        <v>88</v>
      </c>
      <c r="D62" t="s">
        <v>241</v>
      </c>
      <c r="E62" s="24">
        <v>147</v>
      </c>
      <c r="F62">
        <f t="shared" si="10"/>
        <v>85</v>
      </c>
      <c r="G62">
        <v>150.36000000000001</v>
      </c>
      <c r="H62">
        <f>(G62-(A62*'Atomic Particles'!C1))/'Atomic Particles'!C2+A62</f>
        <v>149.15354716853076</v>
      </c>
      <c r="I62" s="16">
        <f t="shared" si="0"/>
        <v>0.74245614035087681</v>
      </c>
      <c r="J62">
        <f>(('Atomic Particles'!C1)*A62)+(('Atomic Particles'!C2)*Elements!F62)</f>
        <v>148.18779036567514</v>
      </c>
      <c r="K62" s="17">
        <f>(E62^(1/3))*Constants!B2</f>
        <v>6.5970401098800959E-15</v>
      </c>
      <c r="L62" s="25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>
        <f t="shared" si="1"/>
        <v>59.15</v>
      </c>
      <c r="AH62" s="16">
        <f t="shared" si="2"/>
        <v>145.63648134744585</v>
      </c>
      <c r="AI62" s="16">
        <f t="shared" si="3"/>
        <v>1.7143560300962928</v>
      </c>
      <c r="AM62" s="15">
        <f t="shared" si="4"/>
        <v>0</v>
      </c>
      <c r="AN62">
        <f t="shared" si="5"/>
        <v>2.8500000000000014</v>
      </c>
      <c r="AO62" s="16">
        <f t="shared" si="6"/>
        <v>4.5536724871417738E-41</v>
      </c>
      <c r="AP62" s="16">
        <f t="shared" si="7"/>
        <v>4.5536724871417738E-29</v>
      </c>
      <c r="AQ62" s="16">
        <f t="shared" si="8"/>
        <v>5.3991186133060472E+16</v>
      </c>
      <c r="AR62" s="16">
        <f t="shared" si="9"/>
        <v>259.8596491228069</v>
      </c>
    </row>
    <row r="63" spans="1:44" x14ac:dyDescent="0.3">
      <c r="A63">
        <v>63</v>
      </c>
      <c r="B63" t="s">
        <v>170</v>
      </c>
      <c r="C63" t="s">
        <v>89</v>
      </c>
      <c r="D63" t="s">
        <v>241</v>
      </c>
      <c r="E63" s="24">
        <v>153</v>
      </c>
      <c r="F63">
        <f t="shared" si="10"/>
        <v>90</v>
      </c>
      <c r="G63">
        <v>151.96</v>
      </c>
      <c r="H63">
        <f>(G63-(A63*'Atomic Particles'!C1))/'Atomic Particles'!C2+A63</f>
        <v>150.74117759728327</v>
      </c>
      <c r="I63" s="16">
        <f t="shared" si="0"/>
        <v>0.74245614035087681</v>
      </c>
      <c r="J63">
        <f>(('Atomic Particles'!C1)*A63)+(('Atomic Particles'!C2)*Elements!F63)</f>
        <v>154.23839717518595</v>
      </c>
      <c r="K63" s="17">
        <f>(E63^(1/3))*Constants!B2</f>
        <v>6.685601551549203E-15</v>
      </c>
      <c r="L63" s="25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>
        <f t="shared" si="1"/>
        <v>60.15</v>
      </c>
      <c r="AH63" s="16">
        <f t="shared" si="2"/>
        <v>147.1862177810446</v>
      </c>
      <c r="AI63" s="16">
        <f>(4/3) * PI() * (I63^3)</f>
        <v>1.7143560300962928</v>
      </c>
      <c r="AM63" s="15">
        <f t="shared" si="4"/>
        <v>0</v>
      </c>
      <c r="AN63">
        <f>A63-AG63</f>
        <v>2.8500000000000014</v>
      </c>
      <c r="AO63" s="16">
        <f t="shared" si="6"/>
        <v>4.5536724871417738E-41</v>
      </c>
      <c r="AP63" s="16">
        <f t="shared" si="7"/>
        <v>4.5536724871417738E-29</v>
      </c>
      <c r="AQ63" s="16">
        <f t="shared" si="8"/>
        <v>5.4424857245423232E+16</v>
      </c>
      <c r="AR63" s="16">
        <f t="shared" si="9"/>
        <v>259.8596491228069</v>
      </c>
    </row>
    <row r="64" spans="1:44" x14ac:dyDescent="0.3">
      <c r="A64">
        <v>64</v>
      </c>
      <c r="B64" t="s">
        <v>467</v>
      </c>
      <c r="C64" t="s">
        <v>90</v>
      </c>
      <c r="D64" t="s">
        <v>241</v>
      </c>
      <c r="E64" s="24">
        <v>152</v>
      </c>
      <c r="F64">
        <f t="shared" si="10"/>
        <v>88</v>
      </c>
      <c r="G64">
        <v>157.25</v>
      </c>
      <c r="H64">
        <f>(G64-(A64*'Atomic Particles'!C1))/'Atomic Particles'!C2+A64</f>
        <v>155.98710551551738</v>
      </c>
      <c r="I64" s="16">
        <f t="shared" si="0"/>
        <v>0.70533333333333337</v>
      </c>
      <c r="J64">
        <f>(('Atomic Particles'!C1)*A64)+(('Atomic Particles'!C2)*Elements!F64)</f>
        <v>153.22834255017247</v>
      </c>
      <c r="K64" s="17">
        <f>(E64^(1/3))*Constants!B2</f>
        <v>6.6710041218048623E-15</v>
      </c>
      <c r="L64" s="25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>
        <f t="shared" si="1"/>
        <v>61</v>
      </c>
      <c r="AH64" s="16">
        <f t="shared" si="2"/>
        <v>177.64692679939387</v>
      </c>
      <c r="AI64" s="16">
        <f t="shared" si="3"/>
        <v>1.4698460013038117</v>
      </c>
      <c r="AM64" s="15">
        <f t="shared" si="4"/>
        <v>0</v>
      </c>
      <c r="AN64">
        <f t="shared" si="5"/>
        <v>3</v>
      </c>
      <c r="AO64" s="16">
        <f t="shared" si="6"/>
        <v>3.9042049486631853E-41</v>
      </c>
      <c r="AP64" s="16">
        <f t="shared" si="7"/>
        <v>3.9042049486631852E-29</v>
      </c>
      <c r="AQ64" s="16">
        <f t="shared" si="8"/>
        <v>5.92422579651664E+16</v>
      </c>
      <c r="AR64" s="16">
        <f t="shared" si="9"/>
        <v>246.86666666666667</v>
      </c>
    </row>
    <row r="65" spans="1:44" x14ac:dyDescent="0.3">
      <c r="A65">
        <v>65</v>
      </c>
      <c r="B65" t="s">
        <v>468</v>
      </c>
      <c r="C65" t="s">
        <v>91</v>
      </c>
      <c r="D65" t="s">
        <v>241</v>
      </c>
      <c r="E65" s="24">
        <v>159</v>
      </c>
      <c r="F65">
        <f>E65-A65</f>
        <v>94</v>
      </c>
      <c r="G65">
        <v>158.93</v>
      </c>
      <c r="H65">
        <f>(G65-(A65*'Atomic Particles'!C1))/'Atomic Particles'!C2+A65</f>
        <v>157.65404862696869</v>
      </c>
      <c r="I65" s="16">
        <f t="shared" si="0"/>
        <v>0.74245614035087681</v>
      </c>
      <c r="J65">
        <f>(('Atomic Particles'!C1)*A65)+(('Atomic Particles'!C2)*Elements!F65)</f>
        <v>160.287615278901</v>
      </c>
      <c r="K65" s="17">
        <f>(E65^(1/3))*Constants!B2</f>
        <v>6.7718768937214747E-15</v>
      </c>
      <c r="L65" s="25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>
        <f t="shared" si="1"/>
        <v>62.15</v>
      </c>
      <c r="AH65" s="16">
        <f t="shared" si="2"/>
        <v>153.9372571199093</v>
      </c>
      <c r="AI65" s="16">
        <f t="shared" si="3"/>
        <v>1.7143560300962928</v>
      </c>
      <c r="AM65" s="15">
        <f t="shared" si="4"/>
        <v>0</v>
      </c>
      <c r="AN65">
        <f t="shared" si="5"/>
        <v>2.8500000000000014</v>
      </c>
      <c r="AO65" s="16">
        <f t="shared" si="6"/>
        <v>4.5536724871417738E-41</v>
      </c>
      <c r="AP65" s="16">
        <f t="shared" si="7"/>
        <v>4.5536724871417738E-29</v>
      </c>
      <c r="AQ65" s="16">
        <f t="shared" si="8"/>
        <v>5.5281994342141176E+16</v>
      </c>
      <c r="AR65" s="16">
        <f>I65 * 350</f>
        <v>259.8596491228069</v>
      </c>
    </row>
    <row r="66" spans="1:44" x14ac:dyDescent="0.3">
      <c r="A66">
        <v>66</v>
      </c>
      <c r="B66" t="s">
        <v>172</v>
      </c>
      <c r="C66" t="s">
        <v>92</v>
      </c>
      <c r="D66" t="s">
        <v>241</v>
      </c>
      <c r="E66" s="24">
        <v>161</v>
      </c>
      <c r="F66">
        <f>E66-A66</f>
        <v>95</v>
      </c>
      <c r="G66">
        <v>162.5</v>
      </c>
      <c r="H66">
        <f>(G66-(A66*'Atomic Particles'!C1))/'Atomic Particles'!C2+A66</f>
        <v>161.19475386717886</v>
      </c>
      <c r="I66" s="16">
        <f t="shared" ref="I66:I87" si="11">0.529 * (M66^2 / (A66 - AG66))</f>
        <v>0.74245614035087681</v>
      </c>
      <c r="J66">
        <f>(('Atomic Particles'!C1)*A66)+(('Atomic Particles'!C2)*Elements!F66)</f>
        <v>162.30355841154082</v>
      </c>
      <c r="K66" s="17">
        <f>(E66^(1/3))*Constants!B2</f>
        <v>6.800152281768497E-15</v>
      </c>
      <c r="L66" s="25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>
        <f t="shared" ref="AG66:AG118" si="12">IF(AF66=1, 0.3 * (M66 - 1),
 IF(AF66=2, 0.35 * (N66 + O66 - 1) + 0.85 * M66,
 IF(AF66=3, 0.35 * (P66 + Q66 - 1) + 0.85 * (N66 + O66) + M66,
 IF(AF66=4, 0.35 * (S66 + T66 - 1) + 0.85 * (P66 + Q66 + R66) + (M66 + N66 + O66),
 IF(AF66=5, 0.35 * (W66 + X66 - 1) + 0.85 * (S66 + T66 + U66) + (M66 + N66 + O66 + P66 + Q66 + R66),
 IF(AF66=6, 0.35 * (AA66 + AB66 - 1) + 0.85 * (W66 + X66 + Y66 + Z66) + (M66 + N66 + O66 + P66 + Q66 + R66 + S66 + T66 + U66 + V66),
 IF(AF66=7, 0.35 * (AD66 + AE66 - 1) + 0.85 * (AA66 + AB66 + AC66) + (M66 + N66 + O66 + P66 + Q66 + R66 + S66 + T66 + U66 + V66 + W66 + X66 + Y66 + Z66), 0)))))))</f>
        <v>63.15</v>
      </c>
      <c r="AH66" s="16">
        <f t="shared" ref="AH66:AH72" si="13">(G66 * 1.6605E-24) / (AI66 * 1E-24)</f>
        <v>157.39510653737662</v>
      </c>
      <c r="AI66" s="16">
        <f t="shared" ref="AI66:AI100" si="14">(4/3) * PI() * (I66^3)</f>
        <v>1.7143560300962928</v>
      </c>
      <c r="AM66" s="15">
        <f t="shared" ref="AM66:AM119" si="15">A66 - L66</f>
        <v>0</v>
      </c>
      <c r="AN66">
        <f t="shared" ref="AN66:AN109" si="16">A66-AG66</f>
        <v>2.8500000000000014</v>
      </c>
      <c r="AO66" s="16">
        <f t="shared" ref="AO66:AO118" si="17">4 * PI() * 0.000000000008854 * (I66 * 0.0000000001)^3</f>
        <v>4.5536724871417738E-41</v>
      </c>
      <c r="AP66" s="16">
        <f t="shared" ref="AP66:AP78" si="18">AO66 * 10^12</f>
        <v>4.5536724871417738E-29</v>
      </c>
      <c r="AQ66" s="16">
        <f t="shared" ref="AQ66:AQ82" si="19">(1 / (2 * PI())) * SQRT((A66 * (1.602E-19^2)) / ((AI66 * 1E-30) * 9.109E-31 * 0.000000000008854))</f>
        <v>5.5705617352062848E+16</v>
      </c>
      <c r="AR66" s="16">
        <f t="shared" si="9"/>
        <v>259.8596491228069</v>
      </c>
    </row>
    <row r="67" spans="1:44" x14ac:dyDescent="0.3">
      <c r="A67">
        <v>67</v>
      </c>
      <c r="B67" t="s">
        <v>173</v>
      </c>
      <c r="C67" t="s">
        <v>93</v>
      </c>
      <c r="D67" t="s">
        <v>241</v>
      </c>
      <c r="E67" s="24">
        <v>165</v>
      </c>
      <c r="F67">
        <f t="shared" ref="F67:F118" si="20">E67-A67</f>
        <v>98</v>
      </c>
      <c r="G67">
        <v>164.93</v>
      </c>
      <c r="H67">
        <f>(G67-(A67*'Atomic Particles'!C1))/'Atomic Particles'!C2+A67</f>
        <v>163.60525337893131</v>
      </c>
      <c r="I67" s="16">
        <f t="shared" si="11"/>
        <v>0.7424561403508787</v>
      </c>
      <c r="J67">
        <f>(('Atomic Particles'!C1)*A67)+(('Atomic Particles'!C2)*Elements!F67)</f>
        <v>166.33683338261611</v>
      </c>
      <c r="K67" s="17">
        <f>(E67^(1/3))*Constants!B2</f>
        <v>6.8560081905407723E-15</v>
      </c>
      <c r="L67" s="25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>
        <f t="shared" si="12"/>
        <v>64.150000000000006</v>
      </c>
      <c r="AH67" s="16">
        <f t="shared" si="13"/>
        <v>159.74876874590356</v>
      </c>
      <c r="AI67" s="16">
        <f t="shared" si="14"/>
        <v>1.7143560300963059</v>
      </c>
      <c r="AM67" s="15">
        <f t="shared" si="15"/>
        <v>0</v>
      </c>
      <c r="AN67">
        <f t="shared" si="16"/>
        <v>2.8499999999999943</v>
      </c>
      <c r="AO67" s="16">
        <f t="shared" si="17"/>
        <v>4.5536724871418064E-41</v>
      </c>
      <c r="AP67" s="16">
        <f t="shared" si="18"/>
        <v>4.5536724871418063E-29</v>
      </c>
      <c r="AQ67" s="16">
        <f t="shared" si="19"/>
        <v>5.612604307007876E+16</v>
      </c>
      <c r="AR67" s="16">
        <f t="shared" ref="AR67:AR118" si="21">I67 * 350</f>
        <v>259.85964912280753</v>
      </c>
    </row>
    <row r="68" spans="1:44" x14ac:dyDescent="0.3">
      <c r="A68">
        <v>68</v>
      </c>
      <c r="B68" t="s">
        <v>174</v>
      </c>
      <c r="C68" t="s">
        <v>94</v>
      </c>
      <c r="D68" t="s">
        <v>241</v>
      </c>
      <c r="E68" s="24">
        <v>166</v>
      </c>
      <c r="F68">
        <f t="shared" si="20"/>
        <v>98</v>
      </c>
      <c r="G68">
        <v>167.26</v>
      </c>
      <c r="H68">
        <f>(G68-(A68*'Atomic Particles'!C1))/'Atomic Particles'!C2+A68</f>
        <v>165.91661203731024</v>
      </c>
      <c r="I68" s="16">
        <f t="shared" si="11"/>
        <v>0.7424561403508787</v>
      </c>
      <c r="J68">
        <f>(('Atomic Particles'!C1)*A68)+(('Atomic Particles'!C2)*Elements!F68)</f>
        <v>167.34411059603815</v>
      </c>
      <c r="K68" s="17">
        <f>(E68^(1/3))*Constants!B2</f>
        <v>6.8698308251187667E-15</v>
      </c>
      <c r="L68" s="25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>
        <f t="shared" si="12"/>
        <v>65.150000000000006</v>
      </c>
      <c r="AH68" s="16">
        <f t="shared" si="13"/>
        <v>162.0055724273318</v>
      </c>
      <c r="AI68" s="16">
        <f t="shared" si="14"/>
        <v>1.7143560300963059</v>
      </c>
      <c r="AM68" s="15">
        <f t="shared" si="15"/>
        <v>0</v>
      </c>
      <c r="AN68">
        <f t="shared" si="16"/>
        <v>2.8499999999999943</v>
      </c>
      <c r="AO68" s="16">
        <f t="shared" si="17"/>
        <v>4.5536724871418064E-41</v>
      </c>
      <c r="AP68" s="16">
        <f t="shared" si="18"/>
        <v>4.5536724871418063E-29</v>
      </c>
      <c r="AQ68" s="16">
        <f t="shared" si="19"/>
        <v>5.65433428162348E+16</v>
      </c>
      <c r="AR68" s="16">
        <f t="shared" si="21"/>
        <v>259.85964912280753</v>
      </c>
    </row>
    <row r="69" spans="1:44" x14ac:dyDescent="0.3">
      <c r="A69">
        <v>69</v>
      </c>
      <c r="B69" t="s">
        <v>175</v>
      </c>
      <c r="C69" t="s">
        <v>95</v>
      </c>
      <c r="D69" t="s">
        <v>241</v>
      </c>
      <c r="E69" s="24">
        <v>169</v>
      </c>
      <c r="F69">
        <f t="shared" si="20"/>
        <v>100</v>
      </c>
      <c r="G69">
        <v>168.93</v>
      </c>
      <c r="H69">
        <f>(G69-(A69*'Atomic Particles'!C1))/'Atomic Particles'!C2+A69</f>
        <v>167.57364106342422</v>
      </c>
      <c r="I69" s="16">
        <f t="shared" si="11"/>
        <v>0.7424561403508787</v>
      </c>
      <c r="J69">
        <f>(('Atomic Particles'!C1)*A69)+(('Atomic Particles'!C2)*Elements!F69)</f>
        <v>170.36871964789566</v>
      </c>
      <c r="K69" s="17">
        <f>(E69^(1/3))*Constants!B2</f>
        <v>6.9109685170985891E-15</v>
      </c>
      <c r="L69" s="25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>
        <f t="shared" si="12"/>
        <v>66.150000000000006</v>
      </c>
      <c r="AH69" s="16">
        <f t="shared" si="13"/>
        <v>163.6231098299005</v>
      </c>
      <c r="AI69" s="16">
        <f t="shared" si="14"/>
        <v>1.7143560300963059</v>
      </c>
      <c r="AM69" s="15">
        <f t="shared" si="15"/>
        <v>0</v>
      </c>
      <c r="AN69">
        <f t="shared" si="16"/>
        <v>2.8499999999999943</v>
      </c>
      <c r="AO69" s="16">
        <f t="shared" si="17"/>
        <v>4.5536724871418064E-41</v>
      </c>
      <c r="AP69" s="16">
        <f t="shared" si="18"/>
        <v>4.5536724871418063E-29</v>
      </c>
      <c r="AQ69" s="16">
        <f t="shared" si="19"/>
        <v>5.6957585297870264E+16</v>
      </c>
      <c r="AR69" s="16">
        <f t="shared" si="21"/>
        <v>259.85964912280753</v>
      </c>
    </row>
    <row r="70" spans="1:44" x14ac:dyDescent="0.3">
      <c r="A70">
        <v>70</v>
      </c>
      <c r="B70" t="s">
        <v>176</v>
      </c>
      <c r="C70" t="s">
        <v>96</v>
      </c>
      <c r="D70" t="s">
        <v>241</v>
      </c>
      <c r="E70" s="24">
        <v>171</v>
      </c>
      <c r="F70">
        <f t="shared" si="20"/>
        <v>101</v>
      </c>
      <c r="G70">
        <v>173.05</v>
      </c>
      <c r="H70">
        <f>(G70-(A70*'Atomic Particles'!C1))/'Atomic Particles'!C2+A70</f>
        <v>171.65962099718857</v>
      </c>
      <c r="I70" s="16">
        <f t="shared" si="11"/>
        <v>0.7424561403508787</v>
      </c>
      <c r="J70">
        <f>(('Atomic Particles'!C1)*A70)+(('Atomic Particles'!C2)*Elements!F70)</f>
        <v>172.38466278053548</v>
      </c>
      <c r="K70" s="17">
        <f>(E70^(1/3))*Constants!B2</f>
        <v>6.9381238786394336E-15</v>
      </c>
      <c r="L70" s="25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>
        <f t="shared" si="12"/>
        <v>67.150000000000006</v>
      </c>
      <c r="AH70" s="16">
        <f t="shared" si="13"/>
        <v>167.61368114641735</v>
      </c>
      <c r="AI70" s="16">
        <f t="shared" si="14"/>
        <v>1.7143560300963059</v>
      </c>
      <c r="AM70" s="15">
        <f t="shared" si="15"/>
        <v>0</v>
      </c>
      <c r="AN70">
        <f t="shared" si="16"/>
        <v>2.8499999999999943</v>
      </c>
      <c r="AO70" s="16">
        <f t="shared" si="17"/>
        <v>4.5536724871418064E-41</v>
      </c>
      <c r="AP70" s="16">
        <f t="shared" si="18"/>
        <v>4.5536724871418063E-29</v>
      </c>
      <c r="AQ70" s="16">
        <f t="shared" si="19"/>
        <v>5.7368836741684792E+16</v>
      </c>
      <c r="AR70" s="16">
        <f t="shared" si="21"/>
        <v>259.85964912280753</v>
      </c>
    </row>
    <row r="71" spans="1:44" x14ac:dyDescent="0.3">
      <c r="A71">
        <v>71</v>
      </c>
      <c r="B71" t="s">
        <v>177</v>
      </c>
      <c r="C71" t="s">
        <v>97</v>
      </c>
      <c r="D71" t="s">
        <v>241</v>
      </c>
      <c r="E71" s="24">
        <v>175</v>
      </c>
      <c r="F71">
        <f t="shared" si="20"/>
        <v>104</v>
      </c>
      <c r="G71">
        <v>174.97</v>
      </c>
      <c r="H71">
        <f>(G71-(A71*'Atomic Particles'!C1))/'Atomic Particles'!C2+A71</f>
        <v>173.56450215673624</v>
      </c>
      <c r="I71" s="16">
        <f t="shared" si="11"/>
        <v>0.70533333333333337</v>
      </c>
      <c r="J71">
        <f>(('Atomic Particles'!C1)*A71)+(('Atomic Particles'!C2)*Elements!F71)</f>
        <v>176.41793775161076</v>
      </c>
      <c r="K71" s="17">
        <f>(E71^(1/3))*Constants!B2</f>
        <v>6.9918058880087307E-15</v>
      </c>
      <c r="L71" s="25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>
        <f t="shared" si="12"/>
        <v>68</v>
      </c>
      <c r="AH71" s="16">
        <f t="shared" si="13"/>
        <v>197.66539130104894</v>
      </c>
      <c r="AI71" s="16">
        <f t="shared" si="14"/>
        <v>1.4698460013038117</v>
      </c>
      <c r="AM71" s="15">
        <f t="shared" si="15"/>
        <v>0</v>
      </c>
      <c r="AN71">
        <f t="shared" si="16"/>
        <v>3</v>
      </c>
      <c r="AO71" s="16">
        <f t="shared" si="17"/>
        <v>3.9042049486631853E-41</v>
      </c>
      <c r="AP71" s="16">
        <f t="shared" si="18"/>
        <v>3.9042049486631852E-29</v>
      </c>
      <c r="AQ71" s="16">
        <f t="shared" si="19"/>
        <v>6.239801731445528E+16</v>
      </c>
      <c r="AR71" s="16">
        <f t="shared" si="21"/>
        <v>246.86666666666667</v>
      </c>
    </row>
    <row r="72" spans="1:44" x14ac:dyDescent="0.3">
      <c r="A72">
        <v>72</v>
      </c>
      <c r="B72" t="s">
        <v>179</v>
      </c>
      <c r="C72" t="s">
        <v>17</v>
      </c>
      <c r="D72" t="s">
        <v>240</v>
      </c>
      <c r="E72" s="24">
        <v>177</v>
      </c>
      <c r="F72">
        <f t="shared" si="20"/>
        <v>105</v>
      </c>
      <c r="G72">
        <v>178.49</v>
      </c>
      <c r="H72">
        <f>(G72-(A72*'Atomic Particles'!C1))/'Atomic Particles'!C2+A72</f>
        <v>177.05563697025966</v>
      </c>
      <c r="I72" s="16">
        <f t="shared" si="11"/>
        <v>0.67174603174603054</v>
      </c>
      <c r="J72">
        <f>(('Atomic Particles'!C1)*A72)+(('Atomic Particles'!C2)*Elements!F72)</f>
        <v>178.43388088425056</v>
      </c>
      <c r="K72" s="17">
        <f>(E72^(1/3))*Constants!B2</f>
        <v>7.0183405100018628E-15</v>
      </c>
      <c r="L72" s="25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>
        <f t="shared" si="12"/>
        <v>68.849999999999994</v>
      </c>
      <c r="AH72" s="16">
        <f t="shared" si="13"/>
        <v>233.42578686051715</v>
      </c>
      <c r="AI72" s="16">
        <f t="shared" si="14"/>
        <v>1.2697082399773705</v>
      </c>
      <c r="AM72" s="15">
        <f t="shared" si="15"/>
        <v>0</v>
      </c>
      <c r="AN72">
        <f t="shared" si="16"/>
        <v>3.1500000000000057</v>
      </c>
      <c r="AO72" s="16">
        <f t="shared" si="17"/>
        <v>3.3725990270278909E-41</v>
      </c>
      <c r="AP72" s="16">
        <f t="shared" si="18"/>
        <v>3.3725990270278908E-29</v>
      </c>
      <c r="AQ72" s="16">
        <f t="shared" si="19"/>
        <v>6.7607023008118456E+16</v>
      </c>
      <c r="AR72" s="16">
        <f t="shared" si="21"/>
        <v>235.11111111111069</v>
      </c>
    </row>
    <row r="73" spans="1:44" x14ac:dyDescent="0.3">
      <c r="A73">
        <v>73</v>
      </c>
      <c r="B73" t="s">
        <v>180</v>
      </c>
      <c r="C73" t="s">
        <v>20</v>
      </c>
      <c r="D73" t="s">
        <v>240</v>
      </c>
      <c r="E73" s="24">
        <v>180</v>
      </c>
      <c r="F73">
        <f t="shared" si="20"/>
        <v>107</v>
      </c>
      <c r="G73">
        <v>180.95</v>
      </c>
      <c r="H73">
        <f>(G73-(A73*'Atomic Particles'!C1))/'Atomic Particles'!C2+A73</f>
        <v>179.49587873802415</v>
      </c>
      <c r="I73" s="16">
        <f t="shared" si="11"/>
        <v>0.6412121212121219</v>
      </c>
      <c r="J73">
        <f>(('Atomic Particles'!C1)*A73)+(('Atomic Particles'!C2)*Elements!F73)</f>
        <v>181.45848993610809</v>
      </c>
      <c r="K73" s="17">
        <f>(E73^(1/3))*Constants!B2</f>
        <v>7.0577702166077138E-15</v>
      </c>
      <c r="L73" s="25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>
        <f t="shared" si="12"/>
        <v>69.7</v>
      </c>
      <c r="AH73" s="16">
        <f>(G73 * 1.6605E-24) / (AI73 * 1E-24)</f>
        <v>272.08442848451608</v>
      </c>
      <c r="AI73" s="16">
        <f t="shared" si="14"/>
        <v>1.1043170558255566</v>
      </c>
      <c r="AM73" s="15">
        <f t="shared" si="15"/>
        <v>0</v>
      </c>
      <c r="AN73">
        <f t="shared" si="16"/>
        <v>3.2999999999999972</v>
      </c>
      <c r="AO73" s="16">
        <f t="shared" si="17"/>
        <v>2.9332869636838431E-41</v>
      </c>
      <c r="AP73" s="16">
        <f t="shared" si="18"/>
        <v>2.9332869636838432E-29</v>
      </c>
      <c r="AQ73" s="16">
        <f t="shared" si="19"/>
        <v>7.2994825335718736E+16</v>
      </c>
      <c r="AR73" s="16">
        <f t="shared" si="21"/>
        <v>224.42424242424266</v>
      </c>
    </row>
    <row r="74" spans="1:44" x14ac:dyDescent="0.3">
      <c r="A74">
        <v>74</v>
      </c>
      <c r="B74" t="s">
        <v>181</v>
      </c>
      <c r="C74" t="s">
        <v>25</v>
      </c>
      <c r="D74" t="s">
        <v>240</v>
      </c>
      <c r="E74" s="24">
        <v>180</v>
      </c>
      <c r="F74">
        <f t="shared" si="20"/>
        <v>106</v>
      </c>
      <c r="G74">
        <v>183.84</v>
      </c>
      <c r="H74">
        <f>(G74-(A74*'Atomic Particles'!C1))/'Atomic Particles'!C2+A74</f>
        <v>182.36242617529462</v>
      </c>
      <c r="I74" s="16">
        <f t="shared" si="11"/>
        <v>0.61333333333333295</v>
      </c>
      <c r="J74">
        <f>(('Atomic Particles'!C1)*A74)+(('Atomic Particles'!C2)*Elements!F74)</f>
        <v>181.45710123031236</v>
      </c>
      <c r="K74" s="17">
        <f>(E74^(1/3))*Constants!B2</f>
        <v>7.0577702166077138E-15</v>
      </c>
      <c r="L74" s="25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>
        <f t="shared" si="12"/>
        <v>70.55</v>
      </c>
      <c r="AH74" s="16">
        <f t="shared" ref="AH74:AH101" si="22">(G74 * 1.6605E-24) / (AI74 * 1E-24)</f>
        <v>315.86432457425701</v>
      </c>
      <c r="AI74" s="16">
        <f t="shared" si="14"/>
        <v>0.96644760503250349</v>
      </c>
      <c r="AM74" s="15">
        <f t="shared" si="15"/>
        <v>0</v>
      </c>
      <c r="AN74">
        <f t="shared" si="16"/>
        <v>3.4500000000000028</v>
      </c>
      <c r="AO74" s="16">
        <f t="shared" si="17"/>
        <v>2.567078128487336E-41</v>
      </c>
      <c r="AP74" s="16">
        <f t="shared" si="18"/>
        <v>2.5670781284873361E-29</v>
      </c>
      <c r="AQ74" s="16">
        <f t="shared" si="19"/>
        <v>7.8560499538053968E+16</v>
      </c>
      <c r="AR74" s="16">
        <f t="shared" si="21"/>
        <v>214.66666666666654</v>
      </c>
    </row>
    <row r="75" spans="1:44" x14ac:dyDescent="0.3">
      <c r="A75">
        <v>75</v>
      </c>
      <c r="B75" t="s">
        <v>182</v>
      </c>
      <c r="C75" t="s">
        <v>28</v>
      </c>
      <c r="D75" t="s">
        <v>240</v>
      </c>
      <c r="E75" s="24">
        <v>185</v>
      </c>
      <c r="F75">
        <f t="shared" si="20"/>
        <v>110</v>
      </c>
      <c r="G75">
        <v>186.21</v>
      </c>
      <c r="H75">
        <f>(G75-(A75*'Atomic Particles'!C1))/'Atomic Particles'!C2+A75</f>
        <v>184.71344117502298</v>
      </c>
      <c r="I75" s="16">
        <f t="shared" si="11"/>
        <v>0.58777777777777873</v>
      </c>
      <c r="J75">
        <f>(('Atomic Particles'!C1)*A75)+(('Atomic Particles'!C2)*Elements!F75)</f>
        <v>186.49904212060542</v>
      </c>
      <c r="K75" s="17">
        <f>(E75^(1/3))*Constants!B2</f>
        <v>7.1225240191313289E-15</v>
      </c>
      <c r="L75" s="25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>
        <f t="shared" si="12"/>
        <v>71.400000000000006</v>
      </c>
      <c r="AH75" s="16">
        <f t="shared" si="22"/>
        <v>363.507840798323</v>
      </c>
      <c r="AI75" s="16">
        <f t="shared" si="14"/>
        <v>0.85060532482859863</v>
      </c>
      <c r="AM75" s="15">
        <f t="shared" si="15"/>
        <v>0</v>
      </c>
      <c r="AN75">
        <f t="shared" si="16"/>
        <v>3.5999999999999943</v>
      </c>
      <c r="AO75" s="16">
        <f t="shared" si="17"/>
        <v>2.259377863809724E-41</v>
      </c>
      <c r="AP75" s="16">
        <f t="shared" si="18"/>
        <v>2.2593778638097241E-29</v>
      </c>
      <c r="AQ75" s="16">
        <f t="shared" si="19"/>
        <v>8.4303211005529888E+16</v>
      </c>
      <c r="AR75" s="16">
        <f t="shared" si="21"/>
        <v>205.72222222222257</v>
      </c>
    </row>
    <row r="76" spans="1:44" x14ac:dyDescent="0.3">
      <c r="A76">
        <v>76</v>
      </c>
      <c r="B76" t="s">
        <v>183</v>
      </c>
      <c r="C76" t="s">
        <v>33</v>
      </c>
      <c r="D76" t="s">
        <v>240</v>
      </c>
      <c r="E76" s="24">
        <v>188</v>
      </c>
      <c r="F76">
        <f>E76-A76</f>
        <v>112</v>
      </c>
      <c r="G76">
        <v>190.23</v>
      </c>
      <c r="H76">
        <f>(G76-(A76*'Atomic Particles'!C1))/'Atomic Particles'!C2+A76</f>
        <v>188.70028025541382</v>
      </c>
      <c r="I76" s="16">
        <f t="shared" si="11"/>
        <v>0.56426666666666669</v>
      </c>
      <c r="J76">
        <f>(('Atomic Particles'!C1)*A76)+(('Atomic Particles'!C2)*Elements!F76)</f>
        <v>189.52365117246296</v>
      </c>
      <c r="K76" s="17">
        <f>(E76^(1/3))*Constants!B2</f>
        <v>7.1608178949780459E-15</v>
      </c>
      <c r="L76" s="25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>
        <f t="shared" si="12"/>
        <v>72.25</v>
      </c>
      <c r="AH76" s="16">
        <f t="shared" si="22"/>
        <v>419.73587645380439</v>
      </c>
      <c r="AI76" s="16">
        <f t="shared" si="14"/>
        <v>0.75256115266755153</v>
      </c>
      <c r="AM76" s="15">
        <f t="shared" si="15"/>
        <v>0</v>
      </c>
      <c r="AN76">
        <f t="shared" si="16"/>
        <v>3.75</v>
      </c>
      <c r="AO76" s="16">
        <f t="shared" si="17"/>
        <v>1.9989529337155506E-41</v>
      </c>
      <c r="AP76" s="16">
        <f t="shared" si="18"/>
        <v>1.9989529337155506E-29</v>
      </c>
      <c r="AQ76" s="16">
        <f t="shared" si="19"/>
        <v>9.02222038919684E+16</v>
      </c>
      <c r="AR76" s="16">
        <f t="shared" si="21"/>
        <v>197.49333333333334</v>
      </c>
    </row>
    <row r="77" spans="1:44" x14ac:dyDescent="0.3">
      <c r="A77">
        <v>77</v>
      </c>
      <c r="B77" t="s">
        <v>184</v>
      </c>
      <c r="C77" t="s">
        <v>36</v>
      </c>
      <c r="D77" t="s">
        <v>240</v>
      </c>
      <c r="E77" s="24">
        <v>193</v>
      </c>
      <c r="F77">
        <f>E77-A77</f>
        <v>116</v>
      </c>
      <c r="G77">
        <v>192.22</v>
      </c>
      <c r="H77">
        <f>(G77-(A77*'Atomic Particles'!C1))/'Atomic Particles'!C2+A77</f>
        <v>190.67456001232293</v>
      </c>
      <c r="I77" s="16">
        <f t="shared" si="11"/>
        <v>0.54256410256410181</v>
      </c>
      <c r="J77">
        <f>(('Atomic Particles'!C1)*A77)+(('Atomic Particles'!C2)*Elements!F77)</f>
        <v>194.56559206275602</v>
      </c>
      <c r="K77" s="17">
        <f>(E77^(1/3))*Constants!B2</f>
        <v>7.2237457064401617E-15</v>
      </c>
      <c r="L77" s="25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>
        <f t="shared" si="12"/>
        <v>73.099999999999994</v>
      </c>
      <c r="AH77" s="16">
        <f t="shared" si="22"/>
        <v>477.08490375724688</v>
      </c>
      <c r="AI77" s="16">
        <f t="shared" si="14"/>
        <v>0.66902412439863679</v>
      </c>
      <c r="AM77" s="15">
        <f t="shared" si="15"/>
        <v>0</v>
      </c>
      <c r="AN77">
        <f t="shared" si="16"/>
        <v>3.9000000000000057</v>
      </c>
      <c r="AO77" s="16">
        <f t="shared" si="17"/>
        <v>1.7770618792276593E-41</v>
      </c>
      <c r="AP77" s="16">
        <f t="shared" si="18"/>
        <v>1.7770618792276594E-29</v>
      </c>
      <c r="AQ77" s="16">
        <f t="shared" si="19"/>
        <v>9.6316791500421728E+16</v>
      </c>
      <c r="AR77" s="16">
        <f t="shared" si="21"/>
        <v>189.89743589743563</v>
      </c>
    </row>
    <row r="78" spans="1:44" x14ac:dyDescent="0.3">
      <c r="A78">
        <v>78</v>
      </c>
      <c r="B78" t="s">
        <v>185</v>
      </c>
      <c r="C78" t="s">
        <v>41</v>
      </c>
      <c r="D78" t="s">
        <v>240</v>
      </c>
      <c r="E78" s="24">
        <v>194</v>
      </c>
      <c r="F78">
        <f t="shared" si="20"/>
        <v>116</v>
      </c>
      <c r="G78">
        <v>195.08</v>
      </c>
      <c r="H78">
        <f>(G78-(A78*'Atomic Particles'!C1))/'Atomic Particles'!C2+A78</f>
        <v>193.51136519358138</v>
      </c>
      <c r="I78" s="16">
        <f t="shared" si="11"/>
        <v>0.59605633802816949</v>
      </c>
      <c r="J78">
        <f>(('Atomic Particles'!C1)*A78)+(('Atomic Particles'!C2)*Elements!F78)</f>
        <v>195.57286927617804</v>
      </c>
      <c r="K78" s="17">
        <f>(E78^(1/3))*Constants!B2</f>
        <v>7.2362004650780036E-15</v>
      </c>
      <c r="L78" s="25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>
        <f t="shared" si="12"/>
        <v>74.45</v>
      </c>
      <c r="AH78" s="16">
        <f t="shared" si="22"/>
        <v>365.17504094060166</v>
      </c>
      <c r="AI78" s="16">
        <f t="shared" si="14"/>
        <v>0.88705498372954161</v>
      </c>
      <c r="AM78" s="15">
        <f t="shared" si="15"/>
        <v>0</v>
      </c>
      <c r="AN78">
        <f t="shared" si="16"/>
        <v>3.5499999999999972</v>
      </c>
      <c r="AO78" s="16">
        <f t="shared" si="17"/>
        <v>2.3561954477824077E-41</v>
      </c>
      <c r="AP78" s="16">
        <f t="shared" si="18"/>
        <v>2.3561954477824076E-29</v>
      </c>
      <c r="AQ78" s="16">
        <f t="shared" si="19"/>
        <v>8.4187878334941936E+16</v>
      </c>
      <c r="AR78" s="16">
        <f t="shared" si="21"/>
        <v>208.61971830985931</v>
      </c>
    </row>
    <row r="79" spans="1:44" x14ac:dyDescent="0.3">
      <c r="A79">
        <v>79</v>
      </c>
      <c r="B79" t="s">
        <v>186</v>
      </c>
      <c r="C79" t="s">
        <v>44</v>
      </c>
      <c r="D79" t="s">
        <v>240</v>
      </c>
      <c r="E79" s="24">
        <v>197</v>
      </c>
      <c r="F79">
        <f t="shared" si="20"/>
        <v>118</v>
      </c>
      <c r="G79">
        <v>196.97</v>
      </c>
      <c r="H79">
        <f>(G79-(A79*'Atomic Particles'!C1))/'Atomic Particles'!C2+A79</f>
        <v>195.38650409711698</v>
      </c>
      <c r="I79" s="16">
        <f t="shared" si="11"/>
        <v>0.57189189189189149</v>
      </c>
      <c r="J79">
        <f>(('Atomic Particles'!C1)*A79)+(('Atomic Particles'!C2)*Elements!F79)</f>
        <v>198.59747832803561</v>
      </c>
      <c r="K79" s="17">
        <f>(E79^(1/3))*Constants!B2</f>
        <v>7.2733098343712004E-15</v>
      </c>
      <c r="L79" s="25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>
        <f t="shared" si="12"/>
        <v>75.3</v>
      </c>
      <c r="AH79" s="16">
        <f t="shared" si="22"/>
        <v>417.45391433573332</v>
      </c>
      <c r="AI79" s="16">
        <f t="shared" si="14"/>
        <v>0.78348453270690421</v>
      </c>
      <c r="AM79" s="15">
        <f t="shared" si="15"/>
        <v>0</v>
      </c>
      <c r="AN79">
        <f t="shared" si="16"/>
        <v>3.7000000000000028</v>
      </c>
      <c r="AO79" s="16">
        <f t="shared" si="17"/>
        <v>2.0810916157760794E-41</v>
      </c>
      <c r="AP79" s="16">
        <f>AO79 * 10^12</f>
        <v>2.0810916157760793E-29</v>
      </c>
      <c r="AQ79" s="16">
        <f t="shared" si="19"/>
        <v>9.0152103728922672E+16</v>
      </c>
      <c r="AR79" s="16">
        <f t="shared" si="21"/>
        <v>200.16216216216202</v>
      </c>
    </row>
    <row r="80" spans="1:44" x14ac:dyDescent="0.3">
      <c r="A80">
        <v>80</v>
      </c>
      <c r="B80" t="s">
        <v>187</v>
      </c>
      <c r="C80" t="s">
        <v>49</v>
      </c>
      <c r="D80" t="s">
        <v>240</v>
      </c>
      <c r="E80" s="24">
        <v>196</v>
      </c>
      <c r="F80">
        <f t="shared" si="20"/>
        <v>116</v>
      </c>
      <c r="G80">
        <v>200.59</v>
      </c>
      <c r="H80">
        <f>(G80-(A80*'Atomic Particles'!C1))/'Atomic Particles'!C2+A80</f>
        <v>198.97677976401391</v>
      </c>
      <c r="I80" s="16">
        <f t="shared" si="11"/>
        <v>0.48643678160919607</v>
      </c>
      <c r="J80">
        <f>(('Atomic Particles'!C1)*A80)+(('Atomic Particles'!C2)*Elements!F80)</f>
        <v>197.58742370302213</v>
      </c>
      <c r="K80" s="17">
        <f>(E80^(1/3))*Constants!B2</f>
        <v>7.260982166954628E-15</v>
      </c>
      <c r="L80" s="25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>
        <f t="shared" si="12"/>
        <v>75.650000000000006</v>
      </c>
      <c r="AH80" s="16">
        <f t="shared" si="22"/>
        <v>690.84454035908539</v>
      </c>
      <c r="AI80" s="16">
        <f t="shared" si="14"/>
        <v>0.48213407726559265</v>
      </c>
      <c r="AM80" s="15">
        <f t="shared" si="15"/>
        <v>0</v>
      </c>
      <c r="AN80">
        <f t="shared" si="16"/>
        <v>4.3499999999999943</v>
      </c>
      <c r="AO80" s="16">
        <f t="shared" si="17"/>
        <v>1.2806445360328674E-41</v>
      </c>
      <c r="AP80" s="16">
        <f t="shared" ref="AP80:AP118" si="23">AO80 * 10^12</f>
        <v>1.2806445360328673E-29</v>
      </c>
      <c r="AQ80" s="16">
        <f t="shared" si="19"/>
        <v>1.15648129474834E+17</v>
      </c>
      <c r="AR80" s="16">
        <f t="shared" si="21"/>
        <v>170.25287356321863</v>
      </c>
    </row>
    <row r="81" spans="1:44" x14ac:dyDescent="0.3">
      <c r="A81">
        <v>81</v>
      </c>
      <c r="B81" t="s">
        <v>188</v>
      </c>
      <c r="C81" t="s">
        <v>231</v>
      </c>
      <c r="D81" t="s">
        <v>239</v>
      </c>
      <c r="E81" s="24">
        <v>205</v>
      </c>
      <c r="F81">
        <f t="shared" si="20"/>
        <v>124</v>
      </c>
      <c r="G81">
        <v>204.38</v>
      </c>
      <c r="H81">
        <f>(G81-(A81*'Atomic Particles'!C1))/'Atomic Particles'!C2+A81</f>
        <v>202.73559488164574</v>
      </c>
      <c r="I81" s="16">
        <f t="shared" si="11"/>
        <v>0.42320000000000002</v>
      </c>
      <c r="J81">
        <f>(('Atomic Particles'!C1)*A81)+(('Atomic Particles'!C2)*Elements!F81)</f>
        <v>206.66402827018618</v>
      </c>
      <c r="K81" s="17">
        <f>(E81^(1/3))*Constants!B2</f>
        <v>7.3704606749629592E-15</v>
      </c>
      <c r="L81" s="25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>
        <f t="shared" si="12"/>
        <v>76</v>
      </c>
      <c r="AH81" s="16">
        <f t="shared" si="22"/>
        <v>1068.9359624112385</v>
      </c>
      <c r="AI81" s="16">
        <f t="shared" si="14"/>
        <v>0.31748673628162327</v>
      </c>
      <c r="AM81" s="15">
        <f t="shared" si="15"/>
        <v>0</v>
      </c>
      <c r="AN81">
        <f t="shared" si="16"/>
        <v>5</v>
      </c>
      <c r="AO81" s="16">
        <f t="shared" si="17"/>
        <v>8.433082689112478E-42</v>
      </c>
      <c r="AP81" s="16">
        <f t="shared" si="23"/>
        <v>8.4330826891124781E-30</v>
      </c>
      <c r="AQ81" s="16">
        <f t="shared" si="19"/>
        <v>1.4340267405675826E+17</v>
      </c>
      <c r="AR81" s="16">
        <f t="shared" si="21"/>
        <v>148.12</v>
      </c>
    </row>
    <row r="82" spans="1:44" x14ac:dyDescent="0.3">
      <c r="A82">
        <v>82</v>
      </c>
      <c r="B82" t="s">
        <v>189</v>
      </c>
      <c r="C82" t="s">
        <v>57</v>
      </c>
      <c r="D82" t="s">
        <v>239</v>
      </c>
      <c r="E82" s="24">
        <v>204</v>
      </c>
      <c r="F82">
        <f t="shared" si="20"/>
        <v>122</v>
      </c>
      <c r="G82">
        <v>207.2</v>
      </c>
      <c r="H82">
        <f>(G82-(A82*'Atomic Particles'!C1))/'Atomic Particles'!C2+A82</f>
        <v>205.53274372155477</v>
      </c>
      <c r="I82" s="16">
        <f t="shared" si="11"/>
        <v>0.37451327433628284</v>
      </c>
      <c r="J82">
        <f>(('Atomic Particles'!C1)*A82)+(('Atomic Particles'!C2)*Elements!F82)</f>
        <v>205.6539736451727</v>
      </c>
      <c r="K82" s="17">
        <f>(E82^(1/3))*Constants!B2</f>
        <v>7.3584566461041693E-15</v>
      </c>
      <c r="L82" s="25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>
        <f t="shared" si="12"/>
        <v>76.349999999999994</v>
      </c>
      <c r="AH82" s="16">
        <f t="shared" si="22"/>
        <v>1563.6457726940835</v>
      </c>
      <c r="AI82" s="16">
        <f t="shared" si="14"/>
        <v>0.22003423410099429</v>
      </c>
      <c r="AM82" s="15">
        <f t="shared" si="15"/>
        <v>0</v>
      </c>
      <c r="AN82">
        <f t="shared" si="16"/>
        <v>5.6500000000000057</v>
      </c>
      <c r="AO82" s="16">
        <f t="shared" si="17"/>
        <v>5.8445493261906116E-42</v>
      </c>
      <c r="AP82" s="16">
        <f t="shared" si="23"/>
        <v>5.8445493261906117E-30</v>
      </c>
      <c r="AQ82" s="16">
        <f t="shared" si="19"/>
        <v>1.7331626916057709E+17</v>
      </c>
      <c r="AR82" s="16">
        <f t="shared" si="21"/>
        <v>131.07964601769899</v>
      </c>
    </row>
    <row r="83" spans="1:44" x14ac:dyDescent="0.3">
      <c r="A83">
        <v>83</v>
      </c>
      <c r="B83" t="s">
        <v>190</v>
      </c>
      <c r="C83" t="s">
        <v>66</v>
      </c>
      <c r="D83" t="s">
        <v>239</v>
      </c>
      <c r="E83" s="24">
        <v>209</v>
      </c>
      <c r="F83">
        <f t="shared" si="20"/>
        <v>126</v>
      </c>
      <c r="G83">
        <v>208.98</v>
      </c>
      <c r="H83">
        <f>(G83-(A83*'Atomic Particles'!C1))/'Atomic Particles'!C2+A83</f>
        <v>207.29882768637958</v>
      </c>
      <c r="I83" s="16">
        <f t="shared" si="11"/>
        <v>0.33587301587301605</v>
      </c>
      <c r="J83">
        <f>(('Atomic Particles'!C1)*A83)+(('Atomic Particles'!C2)*Elements!F83)</f>
        <v>210.69591453546573</v>
      </c>
      <c r="K83" s="17">
        <f>(E83^(1/3))*Constants!B2</f>
        <v>7.418090175499927E-15</v>
      </c>
      <c r="L83" s="25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>
        <f t="shared" si="12"/>
        <v>76.7</v>
      </c>
      <c r="AH83" s="16">
        <f t="shared" si="22"/>
        <v>2186.4001765078392</v>
      </c>
      <c r="AI83" s="16">
        <f t="shared" si="14"/>
        <v>0.15871352999717242</v>
      </c>
      <c r="AM83" s="15">
        <f t="shared" si="15"/>
        <v>0</v>
      </c>
      <c r="AN83">
        <f t="shared" si="16"/>
        <v>6.2999999999999972</v>
      </c>
      <c r="AO83" s="16">
        <f t="shared" si="17"/>
        <v>4.2157487837848929E-42</v>
      </c>
      <c r="AP83" s="16">
        <f t="shared" si="23"/>
        <v>4.215748783784893E-30</v>
      </c>
      <c r="AQ83" s="16">
        <f>(1 / (2 * PI())) * SQRT((A83 * (1.602E-19^2)) / ((AI83 * 1E-30) * 9.109E-31 * 0.000000000008854))</f>
        <v>2.0530976419971382E+17</v>
      </c>
      <c r="AR83" s="16">
        <f t="shared" si="21"/>
        <v>117.55555555555561</v>
      </c>
    </row>
    <row r="84" spans="1:44" x14ac:dyDescent="0.3">
      <c r="A84">
        <v>84</v>
      </c>
      <c r="B84" t="s">
        <v>191</v>
      </c>
      <c r="C84" t="s">
        <v>232</v>
      </c>
      <c r="D84" t="s">
        <v>239</v>
      </c>
      <c r="E84" s="24">
        <v>209</v>
      </c>
      <c r="F84">
        <f t="shared" si="20"/>
        <v>125</v>
      </c>
      <c r="G84">
        <v>209</v>
      </c>
      <c r="H84">
        <f>(G84-(A84*'Atomic Particles'!C1))/'Atomic Particles'!C2+A84</f>
        <v>207.320032631831</v>
      </c>
      <c r="I84" s="16">
        <f t="shared" si="11"/>
        <v>0.30446043165467612</v>
      </c>
      <c r="J84">
        <f>(('Atomic Particles'!C1)*A84)+(('Atomic Particles'!C2)*Elements!F84)</f>
        <v>210.69452582967003</v>
      </c>
      <c r="K84" s="17">
        <f>(E84^(1/3))*Constants!B2</f>
        <v>7.418090175499927E-15</v>
      </c>
      <c r="L84" s="25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>
        <f t="shared" si="12"/>
        <v>77.05</v>
      </c>
      <c r="AH84" s="16">
        <f t="shared" si="22"/>
        <v>2935.6480020593835</v>
      </c>
      <c r="AI84" s="16">
        <f t="shared" si="14"/>
        <v>0.11821734068817014</v>
      </c>
      <c r="AM84" s="15">
        <f t="shared" si="15"/>
        <v>0</v>
      </c>
      <c r="AN84">
        <f t="shared" si="16"/>
        <v>6.9500000000000028</v>
      </c>
      <c r="AO84" s="16">
        <f t="shared" si="17"/>
        <v>3.1400890033591753E-42</v>
      </c>
      <c r="AP84" s="16">
        <f t="shared" si="23"/>
        <v>3.1400890033591753E-30</v>
      </c>
      <c r="AQ84" s="16">
        <f t="shared" ref="AQ84:AQ118" si="24">(1 / (2 * PI())) * SQRT((A84 * (1.602E-19^2)) / ((AI84 * 1E-30) * 9.109E-31 * 0.000000000008854))</f>
        <v>2.3931867173121802E+17</v>
      </c>
      <c r="AR84" s="16">
        <f t="shared" si="21"/>
        <v>106.56115107913665</v>
      </c>
    </row>
    <row r="85" spans="1:44" x14ac:dyDescent="0.3">
      <c r="A85">
        <v>85</v>
      </c>
      <c r="B85" t="s">
        <v>192</v>
      </c>
      <c r="C85" t="s">
        <v>73</v>
      </c>
      <c r="D85" t="s">
        <v>238</v>
      </c>
      <c r="E85" s="24">
        <v>210</v>
      </c>
      <c r="F85">
        <f t="shared" si="20"/>
        <v>125</v>
      </c>
      <c r="G85">
        <v>210</v>
      </c>
      <c r="H85">
        <f>(G85-(A85*'Atomic Particles'!C1))/'Atomic Particles'!C2+A85</f>
        <v>208.3128179403426</v>
      </c>
      <c r="I85" s="16">
        <f t="shared" si="11"/>
        <v>0.27842105263157918</v>
      </c>
      <c r="J85">
        <f>(('Atomic Particles'!C1)*A85)+(('Atomic Particles'!C2)*Elements!F85)</f>
        <v>211.70180304309207</v>
      </c>
      <c r="K85" s="17">
        <f>(E85^(1/3))*Constants!B2</f>
        <v>7.429902440953911E-15</v>
      </c>
      <c r="L85" s="25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>
        <f t="shared" si="12"/>
        <v>77.400000000000006</v>
      </c>
      <c r="AH85" s="16">
        <f t="shared" si="22"/>
        <v>3857.1217902902945</v>
      </c>
      <c r="AI85" s="16">
        <f t="shared" si="14"/>
        <v>9.0405493774609547E-2</v>
      </c>
      <c r="AM85" s="15">
        <f t="shared" si="15"/>
        <v>0</v>
      </c>
      <c r="AN85">
        <f t="shared" si="16"/>
        <v>7.5999999999999943</v>
      </c>
      <c r="AO85" s="16">
        <f t="shared" si="17"/>
        <v>2.4013507256411793E-42</v>
      </c>
      <c r="AP85" s="16">
        <f t="shared" si="23"/>
        <v>2.4013507256411792E-30</v>
      </c>
      <c r="AQ85" s="16">
        <f t="shared" si="24"/>
        <v>2.7528946077510707E+17</v>
      </c>
      <c r="AR85" s="16">
        <f t="shared" si="21"/>
        <v>97.447368421052715</v>
      </c>
    </row>
    <row r="86" spans="1:44" x14ac:dyDescent="0.3">
      <c r="A86">
        <v>86</v>
      </c>
      <c r="B86" t="s">
        <v>193</v>
      </c>
      <c r="C86" t="s">
        <v>76</v>
      </c>
      <c r="D86" t="s">
        <v>234</v>
      </c>
      <c r="E86" s="24">
        <v>222</v>
      </c>
      <c r="F86">
        <f t="shared" si="20"/>
        <v>136</v>
      </c>
      <c r="G86">
        <v>222</v>
      </c>
      <c r="H86">
        <f>(G86-(A86*'Atomic Particles'!C1))/'Atomic Particles'!C2+A86</f>
        <v>220.21109711993765</v>
      </c>
      <c r="I86" s="16">
        <f t="shared" si="11"/>
        <v>0.25648484848484848</v>
      </c>
      <c r="J86">
        <f>(('Atomic Particles'!C1)*A86)+(('Atomic Particles'!C2)*Elements!F86)</f>
        <v>223.80440536790937</v>
      </c>
      <c r="K86" s="17">
        <f>(E86^(1/3))*Constants!B2</f>
        <v>7.5688111831388797E-15</v>
      </c>
      <c r="L86" s="25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>
        <f t="shared" si="12"/>
        <v>77.75</v>
      </c>
      <c r="AH86" s="16">
        <f t="shared" si="22"/>
        <v>5215.7660199263246</v>
      </c>
      <c r="AI86" s="16">
        <f t="shared" si="14"/>
        <v>7.0676291572835392E-2</v>
      </c>
      <c r="AM86" s="15">
        <f t="shared" si="15"/>
        <v>0</v>
      </c>
      <c r="AN86">
        <f t="shared" si="16"/>
        <v>8.25</v>
      </c>
      <c r="AO86" s="16">
        <f t="shared" si="17"/>
        <v>1.8773036567576544E-42</v>
      </c>
      <c r="AP86" s="16">
        <f t="shared" si="23"/>
        <v>1.8773036567576544E-30</v>
      </c>
      <c r="AQ86" s="16">
        <f t="shared" si="24"/>
        <v>3.1317701637036806E+17</v>
      </c>
      <c r="AR86" s="16">
        <f t="shared" si="21"/>
        <v>89.769696969696966</v>
      </c>
    </row>
    <row r="87" spans="1:44" x14ac:dyDescent="0.3">
      <c r="A87">
        <v>87</v>
      </c>
      <c r="B87" t="s">
        <v>194</v>
      </c>
      <c r="C87" t="s">
        <v>6</v>
      </c>
      <c r="D87" t="s">
        <v>235</v>
      </c>
      <c r="E87" s="24">
        <v>223</v>
      </c>
      <c r="F87">
        <f t="shared" si="20"/>
        <v>136</v>
      </c>
      <c r="G87">
        <v>223</v>
      </c>
      <c r="H87">
        <f>(G87-(A87*'Atomic Particles'!C1))/'Atomic Particles'!C2+A87</f>
        <v>221.20388242844925</v>
      </c>
      <c r="I87" s="16">
        <f t="shared" si="11"/>
        <v>0.96181818181818068</v>
      </c>
      <c r="J87">
        <f>(('Atomic Particles'!C1)*A87)+(('Atomic Particles'!C2)*Elements!F87)</f>
        <v>224.81168258133141</v>
      </c>
      <c r="K87" s="17">
        <f>(E87^(1/3))*Constants!B2</f>
        <v>7.5801587431337018E-15</v>
      </c>
      <c r="L87" s="25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>
        <f t="shared" si="12"/>
        <v>84.8</v>
      </c>
      <c r="AH87" s="16">
        <f t="shared" si="22"/>
        <v>99.351902083935613</v>
      </c>
      <c r="AI87" s="16">
        <f t="shared" si="14"/>
        <v>3.7270700634112286</v>
      </c>
      <c r="AM87" s="15">
        <f t="shared" si="15"/>
        <v>0</v>
      </c>
      <c r="AN87">
        <f t="shared" si="16"/>
        <v>2.2000000000000028</v>
      </c>
      <c r="AO87" s="16">
        <f t="shared" si="17"/>
        <v>9.8998435024329081E-41</v>
      </c>
      <c r="AP87" s="16">
        <f t="shared" si="23"/>
        <v>9.8998435024329087E-29</v>
      </c>
      <c r="AQ87" s="16">
        <f t="shared" si="24"/>
        <v>4.3376387638224448E+16</v>
      </c>
      <c r="AR87" s="16">
        <f t="shared" si="21"/>
        <v>336.63636363636323</v>
      </c>
    </row>
    <row r="88" spans="1:44" x14ac:dyDescent="0.3">
      <c r="A88">
        <v>88</v>
      </c>
      <c r="B88" t="s">
        <v>195</v>
      </c>
      <c r="C88" t="s">
        <v>12</v>
      </c>
      <c r="D88" t="s">
        <v>236</v>
      </c>
      <c r="E88" s="24">
        <v>226</v>
      </c>
      <c r="F88">
        <f t="shared" si="20"/>
        <v>138</v>
      </c>
      <c r="G88">
        <v>226</v>
      </c>
      <c r="H88">
        <f>(G88-(A88*'Atomic Particles'!C1))/'Atomic Particles'!C2+A88</f>
        <v>224.17948480443056</v>
      </c>
      <c r="I88" s="16">
        <f>0.529 * (M88^2 / (A88 - AG88))</f>
        <v>0.7424561403508787</v>
      </c>
      <c r="J88">
        <f>(('Atomic Particles'!C1)*A88)+(('Atomic Particles'!C2)*Elements!F88)</f>
        <v>227.83629163318895</v>
      </c>
      <c r="K88" s="17">
        <f>(E88^(1/3))*Constants!B2</f>
        <v>7.613999186149732E-15</v>
      </c>
      <c r="L88" s="25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>
        <f t="shared" si="12"/>
        <v>85.15</v>
      </c>
      <c r="AH88" s="16">
        <f t="shared" si="22"/>
        <v>218.90027124582676</v>
      </c>
      <c r="AI88" s="16">
        <f t="shared" si="14"/>
        <v>1.7143560300963059</v>
      </c>
      <c r="AM88" s="15">
        <f t="shared" si="15"/>
        <v>0</v>
      </c>
      <c r="AN88">
        <f t="shared" si="16"/>
        <v>2.8499999999999943</v>
      </c>
      <c r="AO88" s="16">
        <f t="shared" si="17"/>
        <v>4.5536724871418064E-41</v>
      </c>
      <c r="AP88" s="16">
        <f t="shared" si="23"/>
        <v>4.5536724871418063E-29</v>
      </c>
      <c r="AQ88" s="16">
        <f t="shared" si="24"/>
        <v>6.4323306347175296E+16</v>
      </c>
      <c r="AR88" s="16">
        <f t="shared" si="21"/>
        <v>259.85964912280753</v>
      </c>
    </row>
    <row r="89" spans="1:44" x14ac:dyDescent="0.3">
      <c r="A89">
        <v>89</v>
      </c>
      <c r="B89" t="s">
        <v>178</v>
      </c>
      <c r="C89" t="s">
        <v>83</v>
      </c>
      <c r="D89" t="s">
        <v>242</v>
      </c>
      <c r="E89" s="24">
        <v>227</v>
      </c>
      <c r="F89">
        <f t="shared" si="20"/>
        <v>138</v>
      </c>
      <c r="G89">
        <v>227</v>
      </c>
      <c r="H89">
        <f>(G89-(A89*'Atomic Particles'!C1))/'Atomic Particles'!C2+A89</f>
        <v>225.17227011294213</v>
      </c>
      <c r="I89" s="16">
        <f t="shared" ref="I89:I118" si="25">0.529 * (M89^2 / (A89 - AG89))</f>
        <v>0.70533333333333337</v>
      </c>
      <c r="J89">
        <f>(('Atomic Particles'!C1)*A89)+(('Atomic Particles'!C2)*Elements!F89)</f>
        <v>228.84356884661099</v>
      </c>
      <c r="K89" s="17">
        <f>(E89^(1/3))*Constants!B2</f>
        <v>7.6252127504913264E-15</v>
      </c>
      <c r="L89" s="25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>
        <f t="shared" si="12"/>
        <v>86</v>
      </c>
      <c r="AH89" s="16">
        <f t="shared" si="22"/>
        <v>256.44421229546845</v>
      </c>
      <c r="AI89" s="16">
        <f t="shared" si="14"/>
        <v>1.4698460013038117</v>
      </c>
      <c r="AM89" s="15">
        <f t="shared" si="15"/>
        <v>0</v>
      </c>
      <c r="AN89">
        <f t="shared" si="16"/>
        <v>3</v>
      </c>
      <c r="AO89" s="16">
        <f t="shared" si="17"/>
        <v>3.9042049486631853E-41</v>
      </c>
      <c r="AP89" s="16">
        <f t="shared" si="23"/>
        <v>3.9042049486631852E-29</v>
      </c>
      <c r="AQ89" s="16">
        <f t="shared" si="24"/>
        <v>6.986129298297624E+16</v>
      </c>
      <c r="AR89" s="16">
        <f t="shared" si="21"/>
        <v>246.86666666666667</v>
      </c>
    </row>
    <row r="90" spans="1:44" x14ac:dyDescent="0.3">
      <c r="A90">
        <v>90</v>
      </c>
      <c r="B90" t="s">
        <v>196</v>
      </c>
      <c r="C90" t="s">
        <v>98</v>
      </c>
      <c r="D90" t="s">
        <v>242</v>
      </c>
      <c r="E90" s="24">
        <v>230</v>
      </c>
      <c r="F90">
        <f t="shared" si="20"/>
        <v>140</v>
      </c>
      <c r="G90">
        <v>232.04</v>
      </c>
      <c r="H90">
        <f>(G90-(A90*'Atomic Particles'!C1))/'Atomic Particles'!C2+A90</f>
        <v>230.17034589774255</v>
      </c>
      <c r="I90" s="16">
        <f t="shared" si="25"/>
        <v>0.67174603174603054</v>
      </c>
      <c r="J90">
        <f>(('Atomic Particles'!C1)*A90)+(('Atomic Particles'!C2)*Elements!F90)</f>
        <v>231.8681778984685</v>
      </c>
      <c r="K90" s="17">
        <f>(E90^(1/3))*Constants!B2</f>
        <v>7.6586570940355215E-15</v>
      </c>
      <c r="L90" s="25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>
        <f t="shared" si="12"/>
        <v>86.85</v>
      </c>
      <c r="AH90" s="16">
        <f t="shared" si="22"/>
        <v>303.45744626093563</v>
      </c>
      <c r="AI90" s="16">
        <f t="shared" si="14"/>
        <v>1.2697082399773705</v>
      </c>
      <c r="AM90" s="15">
        <f t="shared" si="15"/>
        <v>0</v>
      </c>
      <c r="AN90">
        <f t="shared" si="16"/>
        <v>3.1500000000000057</v>
      </c>
      <c r="AO90" s="16">
        <f t="shared" si="17"/>
        <v>3.3725990270278909E-41</v>
      </c>
      <c r="AP90" s="16">
        <f t="shared" si="23"/>
        <v>3.3725990270278908E-29</v>
      </c>
      <c r="AQ90" s="16">
        <f t="shared" si="24"/>
        <v>7.5586949601272592E+16</v>
      </c>
      <c r="AR90" s="16">
        <f t="shared" si="21"/>
        <v>235.11111111111069</v>
      </c>
    </row>
    <row r="91" spans="1:44" x14ac:dyDescent="0.3">
      <c r="A91">
        <v>91</v>
      </c>
      <c r="B91" t="s">
        <v>197</v>
      </c>
      <c r="C91" t="s">
        <v>99</v>
      </c>
      <c r="D91" t="s">
        <v>242</v>
      </c>
      <c r="E91" s="24">
        <v>231</v>
      </c>
      <c r="F91">
        <f t="shared" si="20"/>
        <v>140</v>
      </c>
      <c r="G91">
        <v>231.04</v>
      </c>
      <c r="H91">
        <f>(G91-(A91*'Atomic Particles'!C1))/'Atomic Particles'!C2+A91</f>
        <v>229.18031413878444</v>
      </c>
      <c r="I91" s="16">
        <f t="shared" si="25"/>
        <v>0.70533333333333337</v>
      </c>
      <c r="J91">
        <f>(('Atomic Particles'!C1)*A91)+(('Atomic Particles'!C2)*Elements!F91)</f>
        <v>232.87545511189057</v>
      </c>
      <c r="K91" s="17">
        <f>(E91^(1/3))*Constants!B2</f>
        <v>7.669740549577448E-15</v>
      </c>
      <c r="L91" s="25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>
        <f t="shared" si="12"/>
        <v>88</v>
      </c>
      <c r="AH91" s="16">
        <f t="shared" si="22"/>
        <v>261.00824144821598</v>
      </c>
      <c r="AI91" s="16">
        <f t="shared" si="14"/>
        <v>1.4698460013038117</v>
      </c>
      <c r="AM91" s="15">
        <f t="shared" si="15"/>
        <v>0</v>
      </c>
      <c r="AN91">
        <f t="shared" si="16"/>
        <v>3</v>
      </c>
      <c r="AO91" s="16">
        <f t="shared" si="17"/>
        <v>3.9042049486631853E-41</v>
      </c>
      <c r="AP91" s="16">
        <f t="shared" si="23"/>
        <v>3.9042049486631852E-29</v>
      </c>
      <c r="AQ91" s="16">
        <f t="shared" si="24"/>
        <v>7.0641890316784408E+16</v>
      </c>
      <c r="AR91" s="16">
        <f t="shared" si="21"/>
        <v>246.86666666666667</v>
      </c>
    </row>
    <row r="92" spans="1:44" x14ac:dyDescent="0.3">
      <c r="A92">
        <v>92</v>
      </c>
      <c r="B92" t="s">
        <v>198</v>
      </c>
      <c r="C92" t="s">
        <v>100</v>
      </c>
      <c r="D92" t="s">
        <v>242</v>
      </c>
      <c r="E92" s="24">
        <v>234</v>
      </c>
      <c r="F92">
        <f t="shared" si="20"/>
        <v>142</v>
      </c>
      <c r="G92">
        <v>238.03</v>
      </c>
      <c r="H92">
        <f>(G92-(A92*'Atomic Particles'!C1))/'Atomic Particles'!C2+A92</f>
        <v>236.11163656436784</v>
      </c>
      <c r="I92" s="16">
        <f t="shared" si="25"/>
        <v>0.70533333333333337</v>
      </c>
      <c r="J92">
        <f>(('Atomic Particles'!C1)*A92)+(('Atomic Particles'!C2)*Elements!F92)</f>
        <v>235.90006416374808</v>
      </c>
      <c r="K92" s="17">
        <f>(E92^(1/3))*Constants!B2</f>
        <v>7.7028001846862996E-15</v>
      </c>
      <c r="L92" s="25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>
        <f t="shared" si="12"/>
        <v>89</v>
      </c>
      <c r="AH92" s="16">
        <f t="shared" si="22"/>
        <v>268.90491565061831</v>
      </c>
      <c r="AI92" s="16">
        <f t="shared" si="14"/>
        <v>1.4698460013038117</v>
      </c>
      <c r="AM92" s="15">
        <f t="shared" si="15"/>
        <v>0</v>
      </c>
      <c r="AN92">
        <f t="shared" si="16"/>
        <v>3</v>
      </c>
      <c r="AO92" s="16">
        <f t="shared" si="17"/>
        <v>3.9042049486631853E-41</v>
      </c>
      <c r="AP92" s="16">
        <f t="shared" si="23"/>
        <v>3.9042049486631852E-29</v>
      </c>
      <c r="AQ92" s="16">
        <f t="shared" si="24"/>
        <v>7.102897206539228E+16</v>
      </c>
      <c r="AR92" s="16">
        <f t="shared" si="21"/>
        <v>246.86666666666667</v>
      </c>
    </row>
    <row r="93" spans="1:44" x14ac:dyDescent="0.3">
      <c r="A93">
        <v>93</v>
      </c>
      <c r="B93" t="s">
        <v>199</v>
      </c>
      <c r="C93" t="s">
        <v>101</v>
      </c>
      <c r="D93" t="s">
        <v>242</v>
      </c>
      <c r="E93" s="24">
        <v>225</v>
      </c>
      <c r="F93">
        <f t="shared" si="20"/>
        <v>132</v>
      </c>
      <c r="G93">
        <v>237</v>
      </c>
      <c r="H93">
        <f>(G93-(A93*'Atomic Particles'!C1))/'Atomic Particles'!C2+A93</f>
        <v>235.09186254939763</v>
      </c>
      <c r="I93" s="16">
        <f t="shared" si="25"/>
        <v>0.54961038961039044</v>
      </c>
      <c r="J93">
        <f>(('Atomic Particles'!C1)*A93)+(('Atomic Particles'!C2)*Elements!F93)</f>
        <v>226.82068218499262</v>
      </c>
      <c r="K93" s="17">
        <f>(E93^(1/3))*Constants!B2</f>
        <v>7.60275249446675E-15</v>
      </c>
      <c r="L93" s="25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>
        <f t="shared" si="12"/>
        <v>89.15</v>
      </c>
      <c r="AH93" s="16">
        <f t="shared" si="22"/>
        <v>565.89233970747932</v>
      </c>
      <c r="AI93" s="16">
        <f t="shared" si="14"/>
        <v>0.69542998267731937</v>
      </c>
      <c r="AM93" s="15">
        <f t="shared" si="15"/>
        <v>0</v>
      </c>
      <c r="AN93">
        <f t="shared" si="16"/>
        <v>3.8499999999999943</v>
      </c>
      <c r="AO93" s="16">
        <f t="shared" si="17"/>
        <v>1.8472011199874962E-41</v>
      </c>
      <c r="AP93" s="16">
        <f t="shared" si="23"/>
        <v>1.8472011199874961E-29</v>
      </c>
      <c r="AQ93" s="16">
        <f t="shared" si="24"/>
        <v>1.0382269605021123E+17</v>
      </c>
      <c r="AR93" s="16">
        <f t="shared" si="21"/>
        <v>192.36363636363666</v>
      </c>
    </row>
    <row r="94" spans="1:44" x14ac:dyDescent="0.3">
      <c r="A94">
        <v>94</v>
      </c>
      <c r="B94" t="s">
        <v>200</v>
      </c>
      <c r="C94" t="s">
        <v>102</v>
      </c>
      <c r="D94" t="s">
        <v>242</v>
      </c>
      <c r="E94" s="24">
        <v>228</v>
      </c>
      <c r="F94">
        <f t="shared" si="20"/>
        <v>134</v>
      </c>
      <c r="G94">
        <v>244</v>
      </c>
      <c r="H94">
        <f>(G94-(A94*'Atomic Particles'!C1))/'Atomic Particles'!C2+A94</f>
        <v>242.03309906031839</v>
      </c>
      <c r="I94" s="16">
        <f t="shared" si="25"/>
        <v>0.7424561403508787</v>
      </c>
      <c r="J94">
        <f>(('Atomic Particles'!C1)*A94)+(('Atomic Particles'!C2)*Elements!F94)</f>
        <v>229.84529123685013</v>
      </c>
      <c r="K94" s="17">
        <f>(E94^(1/3))*Constants!B2</f>
        <v>7.6363934303620087E-15</v>
      </c>
      <c r="L94" s="25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>
        <f t="shared" si="12"/>
        <v>91.15</v>
      </c>
      <c r="AH94" s="16">
        <f t="shared" si="22"/>
        <v>236.33480612381294</v>
      </c>
      <c r="AI94" s="16">
        <f t="shared" si="14"/>
        <v>1.7143560300963059</v>
      </c>
      <c r="AM94" s="15">
        <f t="shared" si="15"/>
        <v>0</v>
      </c>
      <c r="AN94">
        <f t="shared" si="16"/>
        <v>2.8499999999999943</v>
      </c>
      <c r="AO94" s="16">
        <f t="shared" si="17"/>
        <v>4.5536724871418064E-41</v>
      </c>
      <c r="AP94" s="16">
        <f t="shared" si="23"/>
        <v>4.5536724871418063E-29</v>
      </c>
      <c r="AQ94" s="16">
        <f t="shared" si="24"/>
        <v>6.6479990795818056E+16</v>
      </c>
      <c r="AR94" s="16">
        <f t="shared" si="21"/>
        <v>259.85964912280753</v>
      </c>
    </row>
    <row r="95" spans="1:44" x14ac:dyDescent="0.3">
      <c r="A95">
        <v>95</v>
      </c>
      <c r="B95" t="s">
        <v>201</v>
      </c>
      <c r="C95" t="s">
        <v>103</v>
      </c>
      <c r="D95" t="s">
        <v>242</v>
      </c>
      <c r="E95" s="24">
        <v>231</v>
      </c>
      <c r="F95">
        <f t="shared" si="20"/>
        <v>136</v>
      </c>
      <c r="G95">
        <v>243</v>
      </c>
      <c r="H95">
        <f>(G95-(A95*'Atomic Particles'!C1))/'Atomic Particles'!C2+A95</f>
        <v>241.04306730136028</v>
      </c>
      <c r="I95" s="16">
        <f t="shared" si="25"/>
        <v>0.7424561403508787</v>
      </c>
      <c r="J95">
        <f>(('Atomic Particles'!C1)*A95)+(('Atomic Particles'!C2)*Elements!F95)</f>
        <v>232.8699002887077</v>
      </c>
      <c r="K95" s="17">
        <f>(E95^(1/3))*Constants!B2</f>
        <v>7.669740549577448E-15</v>
      </c>
      <c r="L95" s="25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>
        <f t="shared" si="12"/>
        <v>92.15</v>
      </c>
      <c r="AH95" s="16">
        <f t="shared" si="22"/>
        <v>235.36622085281374</v>
      </c>
      <c r="AI95" s="16">
        <f t="shared" si="14"/>
        <v>1.7143560300963059</v>
      </c>
      <c r="AM95" s="15">
        <f t="shared" si="15"/>
        <v>0</v>
      </c>
      <c r="AN95">
        <f t="shared" si="16"/>
        <v>2.8499999999999943</v>
      </c>
      <c r="AO95" s="16">
        <f t="shared" si="17"/>
        <v>4.5536724871418064E-41</v>
      </c>
      <c r="AP95" s="16">
        <f t="shared" si="23"/>
        <v>4.5536724871418063E-29</v>
      </c>
      <c r="AQ95" s="16">
        <f t="shared" si="24"/>
        <v>6.683267226695316E+16</v>
      </c>
      <c r="AR95" s="16">
        <f t="shared" si="21"/>
        <v>259.85964912280753</v>
      </c>
    </row>
    <row r="96" spans="1:44" x14ac:dyDescent="0.3">
      <c r="A96">
        <v>96</v>
      </c>
      <c r="B96" t="s">
        <v>202</v>
      </c>
      <c r="C96" t="s">
        <v>104</v>
      </c>
      <c r="D96" t="s">
        <v>242</v>
      </c>
      <c r="E96" s="24">
        <v>232</v>
      </c>
      <c r="F96">
        <f t="shared" si="20"/>
        <v>136</v>
      </c>
      <c r="G96">
        <v>247</v>
      </c>
      <c r="H96">
        <f>(G96-(A96*'Atomic Particles'!C1))/'Atomic Particles'!C2+A96</f>
        <v>245.01007821107643</v>
      </c>
      <c r="I96" s="16">
        <f t="shared" si="25"/>
        <v>0.70533333333333337</v>
      </c>
      <c r="J96">
        <f>(('Atomic Particles'!C1)*A96)+(('Atomic Particles'!C2)*Elements!F96)</f>
        <v>233.87717750212971</v>
      </c>
      <c r="K96" s="17">
        <f>(E96^(1/3))*Constants!B2</f>
        <v>7.6807920642146183E-15</v>
      </c>
      <c r="L96" s="25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>
        <f t="shared" si="12"/>
        <v>93</v>
      </c>
      <c r="AH96" s="16">
        <f t="shared" si="22"/>
        <v>279.03841602194143</v>
      </c>
      <c r="AI96" s="16">
        <f t="shared" si="14"/>
        <v>1.4698460013038117</v>
      </c>
      <c r="AM96" s="15">
        <f t="shared" si="15"/>
        <v>0</v>
      </c>
      <c r="AN96">
        <f t="shared" si="16"/>
        <v>3</v>
      </c>
      <c r="AO96" s="16">
        <f t="shared" si="17"/>
        <v>3.9042049486631853E-41</v>
      </c>
      <c r="AP96" s="16">
        <f t="shared" si="23"/>
        <v>3.9042049486631852E-29</v>
      </c>
      <c r="AQ96" s="16">
        <f t="shared" si="24"/>
        <v>7.2556651612495072E+16</v>
      </c>
      <c r="AR96" s="16">
        <f t="shared" si="21"/>
        <v>246.86666666666667</v>
      </c>
    </row>
    <row r="97" spans="1:44" x14ac:dyDescent="0.3">
      <c r="A97">
        <v>97</v>
      </c>
      <c r="B97" t="s">
        <v>203</v>
      </c>
      <c r="C97" t="s">
        <v>105</v>
      </c>
      <c r="D97" t="s">
        <v>242</v>
      </c>
      <c r="E97" s="24">
        <v>234</v>
      </c>
      <c r="F97">
        <f t="shared" si="20"/>
        <v>137</v>
      </c>
      <c r="G97">
        <v>247</v>
      </c>
      <c r="H97">
        <f>(G97-(A97*'Atomic Particles'!C1))/'Atomic Particles'!C2+A97</f>
        <v>245.01145498585316</v>
      </c>
      <c r="I97" s="16">
        <f t="shared" si="25"/>
        <v>0.7424561403508787</v>
      </c>
      <c r="J97">
        <f>(('Atomic Particles'!C1)*A97)+(('Atomic Particles'!C2)*Elements!F97)</f>
        <v>235.8931206347695</v>
      </c>
      <c r="K97" s="17">
        <f>(E97^(1/3))*Constants!B98</f>
        <v>0</v>
      </c>
      <c r="L97" s="25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>
        <f t="shared" si="12"/>
        <v>94.15</v>
      </c>
      <c r="AH97" s="16">
        <f t="shared" si="22"/>
        <v>239.24056193681065</v>
      </c>
      <c r="AI97" s="16">
        <f t="shared" si="14"/>
        <v>1.7143560300963059</v>
      </c>
      <c r="AM97" s="15">
        <f t="shared" si="15"/>
        <v>0</v>
      </c>
      <c r="AN97">
        <f t="shared" si="16"/>
        <v>2.8499999999999943</v>
      </c>
      <c r="AO97" s="16">
        <f t="shared" si="17"/>
        <v>4.5536724871418064E-41</v>
      </c>
      <c r="AP97" s="16">
        <f t="shared" si="23"/>
        <v>4.5536724871418063E-29</v>
      </c>
      <c r="AQ97" s="16">
        <f t="shared" si="24"/>
        <v>6.7532509908945336E+16</v>
      </c>
      <c r="AR97" s="16">
        <f t="shared" si="21"/>
        <v>259.85964912280753</v>
      </c>
    </row>
    <row r="98" spans="1:44" x14ac:dyDescent="0.3">
      <c r="A98">
        <v>98</v>
      </c>
      <c r="B98" t="s">
        <v>204</v>
      </c>
      <c r="C98" t="s">
        <v>106</v>
      </c>
      <c r="D98" t="s">
        <v>242</v>
      </c>
      <c r="E98" s="24">
        <v>237</v>
      </c>
      <c r="F98">
        <f t="shared" si="20"/>
        <v>139</v>
      </c>
      <c r="G98">
        <v>251</v>
      </c>
      <c r="H98">
        <f>(G98-(A98*'Atomic Particles'!C1))/'Atomic Particles'!C2+A98</f>
        <v>248.97846589556934</v>
      </c>
      <c r="I98" s="16">
        <f t="shared" si="25"/>
        <v>0.7424561403508787</v>
      </c>
      <c r="J98">
        <f>(('Atomic Particles'!C1)*A98)+(('Atomic Particles'!C2)*Elements!F98)</f>
        <v>238.91772968662707</v>
      </c>
      <c r="K98" s="17">
        <f>(E98^(1/3))*Constants!B99</f>
        <v>0</v>
      </c>
      <c r="L98" s="25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>
        <f t="shared" si="12"/>
        <v>95.15</v>
      </c>
      <c r="AH98" s="16">
        <f t="shared" si="22"/>
        <v>243.11490302080759</v>
      </c>
      <c r="AI98" s="16">
        <f t="shared" si="14"/>
        <v>1.7143560300963059</v>
      </c>
      <c r="AM98" s="15">
        <f t="shared" si="15"/>
        <v>0</v>
      </c>
      <c r="AN98">
        <f t="shared" si="16"/>
        <v>2.8499999999999943</v>
      </c>
      <c r="AO98" s="16">
        <f t="shared" si="17"/>
        <v>4.5536724871418064E-41</v>
      </c>
      <c r="AP98" s="16">
        <f t="shared" si="23"/>
        <v>4.5536724871418063E-29</v>
      </c>
      <c r="AQ98" s="16">
        <f t="shared" si="24"/>
        <v>6.787972304548476E+16</v>
      </c>
      <c r="AR98" s="16">
        <f t="shared" si="21"/>
        <v>259.85964912280753</v>
      </c>
    </row>
    <row r="99" spans="1:44" x14ac:dyDescent="0.3">
      <c r="A99">
        <v>99</v>
      </c>
      <c r="B99" t="s">
        <v>205</v>
      </c>
      <c r="C99" t="s">
        <v>107</v>
      </c>
      <c r="D99" t="s">
        <v>242</v>
      </c>
      <c r="E99" s="24">
        <v>240</v>
      </c>
      <c r="F99">
        <f t="shared" si="20"/>
        <v>141</v>
      </c>
      <c r="G99">
        <v>252</v>
      </c>
      <c r="H99">
        <f>(G99-(A99*'Atomic Particles'!C1))/'Atomic Particles'!C2+A99</f>
        <v>249.97125120408094</v>
      </c>
      <c r="I99" s="16">
        <f t="shared" si="25"/>
        <v>0.7424561403508787</v>
      </c>
      <c r="J99">
        <f>(('Atomic Particles'!C1)*A99)+(('Atomic Particles'!C2)*Elements!F99)</f>
        <v>241.94233873848458</v>
      </c>
      <c r="K99" s="17">
        <f>(E99^(1/3))*Constants!B100</f>
        <v>0</v>
      </c>
      <c r="L99" s="25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>
        <f t="shared" si="12"/>
        <v>96.15</v>
      </c>
      <c r="AH99" s="16">
        <f t="shared" si="22"/>
        <v>244.08348829180682</v>
      </c>
      <c r="AI99" s="16">
        <f t="shared" si="14"/>
        <v>1.7143560300963059</v>
      </c>
      <c r="AM99" s="15">
        <f t="shared" si="15"/>
        <v>0</v>
      </c>
      <c r="AN99">
        <f t="shared" si="16"/>
        <v>2.8499999999999943</v>
      </c>
      <c r="AO99" s="16">
        <f t="shared" si="17"/>
        <v>4.5536724871418064E-41</v>
      </c>
      <c r="AP99" s="16">
        <f t="shared" si="23"/>
        <v>4.5536724871418063E-29</v>
      </c>
      <c r="AQ99" s="16">
        <f t="shared" si="24"/>
        <v>6.8225169159641016E+16</v>
      </c>
      <c r="AR99" s="16">
        <f t="shared" si="21"/>
        <v>259.85964912280753</v>
      </c>
    </row>
    <row r="100" spans="1:44" x14ac:dyDescent="0.3">
      <c r="A100">
        <v>100</v>
      </c>
      <c r="B100" t="s">
        <v>206</v>
      </c>
      <c r="C100" t="s">
        <v>108</v>
      </c>
      <c r="D100" t="s">
        <v>242</v>
      </c>
      <c r="E100" s="24">
        <v>241</v>
      </c>
      <c r="F100">
        <f t="shared" si="20"/>
        <v>141</v>
      </c>
      <c r="G100">
        <v>257</v>
      </c>
      <c r="H100">
        <f>(G100-(A100*'Atomic Particles'!C1))/'Atomic Particles'!C2+A100</f>
        <v>254.92967064753196</v>
      </c>
      <c r="I100" s="16">
        <f t="shared" si="25"/>
        <v>0.7424561403508787</v>
      </c>
      <c r="J100">
        <f>(('Atomic Particles'!C1)*A100)+(('Atomic Particles'!C2)*Elements!F100)</f>
        <v>242.94961595190662</v>
      </c>
      <c r="K100" s="17">
        <f>(E100^(1/3))*Constants!B101</f>
        <v>0</v>
      </c>
      <c r="L100" s="25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>
        <f t="shared" si="12"/>
        <v>97.15</v>
      </c>
      <c r="AH100" s="16">
        <f t="shared" si="22"/>
        <v>248.92641464680301</v>
      </c>
      <c r="AI100" s="16">
        <f t="shared" si="14"/>
        <v>1.7143560300963059</v>
      </c>
      <c r="AM100" s="15">
        <f t="shared" si="15"/>
        <v>0</v>
      </c>
      <c r="AN100">
        <f t="shared" si="16"/>
        <v>2.8499999999999943</v>
      </c>
      <c r="AO100" s="16">
        <f t="shared" si="17"/>
        <v>4.5536724871418064E-41</v>
      </c>
      <c r="AP100" s="16">
        <f t="shared" si="23"/>
        <v>4.5536724871418063E-29</v>
      </c>
      <c r="AQ100" s="16">
        <f t="shared" si="24"/>
        <v>6.8568874957895776E+16</v>
      </c>
      <c r="AR100" s="16">
        <f t="shared" si="21"/>
        <v>259.85964912280753</v>
      </c>
    </row>
    <row r="101" spans="1:44" x14ac:dyDescent="0.3">
      <c r="A101">
        <v>101</v>
      </c>
      <c r="B101" t="s">
        <v>207</v>
      </c>
      <c r="C101" t="s">
        <v>109</v>
      </c>
      <c r="D101" t="s">
        <v>242</v>
      </c>
      <c r="E101" s="24">
        <v>246</v>
      </c>
      <c r="F101">
        <f t="shared" si="20"/>
        <v>145</v>
      </c>
      <c r="G101">
        <v>258</v>
      </c>
      <c r="H101">
        <f>(G101-(A101*'Atomic Particles'!C1))/'Atomic Particles'!C2+A101</f>
        <v>255.92245595604356</v>
      </c>
      <c r="I101" s="16">
        <f t="shared" si="25"/>
        <v>0.7424561403508787</v>
      </c>
      <c r="J101">
        <f>(('Atomic Particles'!C1)*A101)+(('Atomic Particles'!C2)*Elements!F101)</f>
        <v>247.99155684219966</v>
      </c>
      <c r="K101" s="17">
        <f>(E101^(1/3))*Constants!B102</f>
        <v>0</v>
      </c>
      <c r="L101" s="25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>
        <f t="shared" si="12"/>
        <v>98.15</v>
      </c>
      <c r="AH101" s="16">
        <f t="shared" si="22"/>
        <v>249.89499991780224</v>
      </c>
      <c r="AI101" s="16">
        <f>(4/3) * PI() * (I101^3)</f>
        <v>1.7143560300963059</v>
      </c>
      <c r="AM101" s="15">
        <f t="shared" si="15"/>
        <v>0</v>
      </c>
      <c r="AN101">
        <f t="shared" si="16"/>
        <v>2.8499999999999943</v>
      </c>
      <c r="AO101" s="16">
        <f t="shared" si="17"/>
        <v>4.5536724871418064E-41</v>
      </c>
      <c r="AP101" s="16">
        <f t="shared" si="23"/>
        <v>4.5536724871418063E-29</v>
      </c>
      <c r="AQ101" s="16">
        <f t="shared" si="24"/>
        <v>6.8910866480704344E+16</v>
      </c>
      <c r="AR101" s="16">
        <f t="shared" si="21"/>
        <v>259.85964912280753</v>
      </c>
    </row>
    <row r="102" spans="1:44" x14ac:dyDescent="0.3">
      <c r="A102">
        <v>102</v>
      </c>
      <c r="B102" t="s">
        <v>208</v>
      </c>
      <c r="C102" t="s">
        <v>110</v>
      </c>
      <c r="D102" t="s">
        <v>242</v>
      </c>
      <c r="E102" s="24">
        <v>250</v>
      </c>
      <c r="F102">
        <f t="shared" si="20"/>
        <v>148</v>
      </c>
      <c r="G102">
        <v>259</v>
      </c>
      <c r="H102">
        <f>(G102-(A102*'Atomic Particles'!C1))/'Atomic Particles'!C2+A102</f>
        <v>256.91524126455511</v>
      </c>
      <c r="I102" s="16">
        <f t="shared" si="25"/>
        <v>0.7424561403508787</v>
      </c>
      <c r="J102">
        <f>(('Atomic Particles'!C1)*A102)+(('Atomic Particles'!C2)*Elements!F102)</f>
        <v>252.02483181327494</v>
      </c>
      <c r="K102" s="17">
        <f>(E102^(1/3))*Constants!B103</f>
        <v>0</v>
      </c>
      <c r="L102" s="25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>
        <f t="shared" si="12"/>
        <v>99.15</v>
      </c>
      <c r="AH102" s="16">
        <f>(G102 * 1.6605E-24) / (AI102 * 1E-24)</f>
        <v>250.86358518880144</v>
      </c>
      <c r="AI102" s="16">
        <f t="shared" ref="AI102:AI118" si="26">(4/3) * PI() * (I102^3)</f>
        <v>1.7143560300963059</v>
      </c>
      <c r="AM102" s="15">
        <f t="shared" si="15"/>
        <v>0</v>
      </c>
      <c r="AN102">
        <f t="shared" si="16"/>
        <v>2.8499999999999943</v>
      </c>
      <c r="AO102" s="16">
        <f t="shared" si="17"/>
        <v>4.5536724871418064E-41</v>
      </c>
      <c r="AP102" s="16">
        <f t="shared" si="23"/>
        <v>4.5536724871418063E-29</v>
      </c>
      <c r="AQ102" s="16">
        <f t="shared" si="24"/>
        <v>6.9251169125520016E+16</v>
      </c>
      <c r="AR102" s="16">
        <f t="shared" si="21"/>
        <v>259.85964912280753</v>
      </c>
    </row>
    <row r="103" spans="1:44" x14ac:dyDescent="0.3">
      <c r="A103">
        <v>103</v>
      </c>
      <c r="B103" t="s">
        <v>209</v>
      </c>
      <c r="C103" t="s">
        <v>111</v>
      </c>
      <c r="D103" t="s">
        <v>242</v>
      </c>
      <c r="E103" s="24">
        <v>252</v>
      </c>
      <c r="F103">
        <f t="shared" si="20"/>
        <v>149</v>
      </c>
      <c r="G103">
        <v>266</v>
      </c>
      <c r="H103">
        <f>(G103-(A103*'Atomic Particles'!C1))/'Atomic Particles'!C2+A103</f>
        <v>263.85647777547592</v>
      </c>
      <c r="I103" s="16">
        <f t="shared" si="25"/>
        <v>0.60457142857142854</v>
      </c>
      <c r="J103">
        <f>(('Atomic Particles'!C1)*A103)+(('Atomic Particles'!C2)*Elements!F103)</f>
        <v>254.04077494591476</v>
      </c>
      <c r="K103" s="17">
        <f>(E103^(1/3))*Constants!B104</f>
        <v>0</v>
      </c>
      <c r="L103" s="25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>
        <f t="shared" si="12"/>
        <v>99.5</v>
      </c>
      <c r="AH103" s="16">
        <f t="shared" ref="AH103:AH118" si="27">(G103 * 1.6605E-24) / (AI103 * 1E-24)</f>
        <v>477.18749064720907</v>
      </c>
      <c r="AI103" s="16">
        <f t="shared" si="26"/>
        <v>0.92561730694350797</v>
      </c>
      <c r="AM103" s="15">
        <f t="shared" si="15"/>
        <v>0</v>
      </c>
      <c r="AN103">
        <f t="shared" si="16"/>
        <v>3.5</v>
      </c>
      <c r="AO103" s="16">
        <f t="shared" si="17"/>
        <v>2.4586246907033461E-41</v>
      </c>
      <c r="AP103" s="16">
        <f t="shared" si="23"/>
        <v>2.4586246907033463E-29</v>
      </c>
      <c r="AQ103" s="16">
        <f t="shared" si="24"/>
        <v>9.4706636449309136E+16</v>
      </c>
      <c r="AR103" s="16">
        <f t="shared" si="21"/>
        <v>211.6</v>
      </c>
    </row>
    <row r="104" spans="1:44" x14ac:dyDescent="0.3">
      <c r="A104">
        <v>104</v>
      </c>
      <c r="B104" t="s">
        <v>210</v>
      </c>
      <c r="C104" t="s">
        <v>18</v>
      </c>
      <c r="D104" t="s">
        <v>243</v>
      </c>
      <c r="E104" s="24">
        <v>255</v>
      </c>
      <c r="F104">
        <f t="shared" si="20"/>
        <v>151</v>
      </c>
      <c r="G104">
        <v>267</v>
      </c>
      <c r="H104">
        <f>(G104-(A104*'Atomic Particles'!C1))/'Atomic Particles'!C2+A104</f>
        <v>264.84926308398747</v>
      </c>
      <c r="I104" s="16">
        <f t="shared" si="25"/>
        <v>0.67174603174603054</v>
      </c>
      <c r="J104">
        <f>(('Atomic Particles'!C1)*A104)+(('Atomic Particles'!C2)*Elements!F104)</f>
        <v>257.0653839977723</v>
      </c>
      <c r="K104" s="17">
        <f>(E104^(1/3))*Constants!B105</f>
        <v>0</v>
      </c>
      <c r="L104" s="25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>
        <f t="shared" si="12"/>
        <v>100.85</v>
      </c>
      <c r="AH104" s="16">
        <f t="shared" si="27"/>
        <v>349.17746143626016</v>
      </c>
      <c r="AI104" s="16">
        <f t="shared" si="26"/>
        <v>1.2697082399773705</v>
      </c>
      <c r="AM104" s="15">
        <f t="shared" si="15"/>
        <v>0</v>
      </c>
      <c r="AN104">
        <f t="shared" si="16"/>
        <v>3.1500000000000057</v>
      </c>
      <c r="AO104" s="16">
        <f t="shared" si="17"/>
        <v>3.3725990270278909E-41</v>
      </c>
      <c r="AP104" s="16">
        <f t="shared" si="23"/>
        <v>3.3725990270278908E-29</v>
      </c>
      <c r="AQ104" s="16">
        <f t="shared" si="24"/>
        <v>8.1253529345748256E+16</v>
      </c>
      <c r="AR104" s="16">
        <f t="shared" si="21"/>
        <v>235.11111111111069</v>
      </c>
    </row>
    <row r="105" spans="1:44" x14ac:dyDescent="0.3">
      <c r="A105">
        <v>105</v>
      </c>
      <c r="B105" t="s">
        <v>211</v>
      </c>
      <c r="C105" t="s">
        <v>19</v>
      </c>
      <c r="D105" t="s">
        <v>243</v>
      </c>
      <c r="E105" s="24">
        <v>257</v>
      </c>
      <c r="F105">
        <f t="shared" si="20"/>
        <v>152</v>
      </c>
      <c r="G105">
        <v>268</v>
      </c>
      <c r="H105">
        <f>(G105-(A105*'Atomic Particles'!C1))/'Atomic Particles'!C2+A105</f>
        <v>265.84204839249901</v>
      </c>
      <c r="I105" s="16">
        <f t="shared" si="25"/>
        <v>0.6412121212121219</v>
      </c>
      <c r="J105">
        <f>(('Atomic Particles'!C1)*A105)+(('Atomic Particles'!C2)*Elements!F105)</f>
        <v>259.08132713041209</v>
      </c>
      <c r="K105" s="17">
        <f>(E105^(1/3))*Constants!B106</f>
        <v>0</v>
      </c>
      <c r="L105" s="25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>
        <f t="shared" si="12"/>
        <v>101.7</v>
      </c>
      <c r="AH105" s="16">
        <f t="shared" si="27"/>
        <v>402.97666114313523</v>
      </c>
      <c r="AI105" s="16">
        <f t="shared" si="26"/>
        <v>1.1043170558255566</v>
      </c>
      <c r="AM105" s="15">
        <f t="shared" si="15"/>
        <v>0</v>
      </c>
      <c r="AN105">
        <f t="shared" si="16"/>
        <v>3.2999999999999972</v>
      </c>
      <c r="AO105" s="16">
        <f t="shared" si="17"/>
        <v>2.9332869636838431E-41</v>
      </c>
      <c r="AP105" s="16">
        <f t="shared" si="23"/>
        <v>2.9332869636838432E-29</v>
      </c>
      <c r="AQ105" s="16">
        <f t="shared" si="24"/>
        <v>8.754377967060832E+16</v>
      </c>
      <c r="AR105" s="16">
        <f t="shared" si="21"/>
        <v>224.42424242424266</v>
      </c>
    </row>
    <row r="106" spans="1:44" x14ac:dyDescent="0.3">
      <c r="A106">
        <v>106</v>
      </c>
      <c r="B106" t="s">
        <v>212</v>
      </c>
      <c r="C106" t="s">
        <v>26</v>
      </c>
      <c r="D106" t="s">
        <v>243</v>
      </c>
      <c r="E106" s="24">
        <v>262</v>
      </c>
      <c r="F106">
        <f t="shared" si="20"/>
        <v>156</v>
      </c>
      <c r="G106">
        <v>269</v>
      </c>
      <c r="H106">
        <f>(G106-(A106*'Atomic Particles'!C1))/'Atomic Particles'!C2+A106</f>
        <v>266.83483370101067</v>
      </c>
      <c r="I106" s="16">
        <f t="shared" si="25"/>
        <v>0.61333333333333295</v>
      </c>
      <c r="J106">
        <f>(('Atomic Particles'!C1)*A106)+(('Atomic Particles'!C2)*Elements!F106)</f>
        <v>264.12326802070515</v>
      </c>
      <c r="K106" s="17">
        <f>(E106^(1/3))*Constants!B107</f>
        <v>0</v>
      </c>
      <c r="L106" s="25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>
        <f t="shared" si="12"/>
        <v>102.55</v>
      </c>
      <c r="AH106" s="16">
        <f t="shared" si="27"/>
        <v>462.18180651912064</v>
      </c>
      <c r="AI106" s="16">
        <f t="shared" si="26"/>
        <v>0.96644760503250349</v>
      </c>
      <c r="AM106" s="15">
        <f t="shared" si="15"/>
        <v>0</v>
      </c>
      <c r="AN106">
        <f t="shared" si="16"/>
        <v>3.4500000000000028</v>
      </c>
      <c r="AO106" s="16">
        <f t="shared" si="17"/>
        <v>2.567078128487336E-41</v>
      </c>
      <c r="AP106" s="16">
        <f t="shared" si="23"/>
        <v>2.5670781284873361E-29</v>
      </c>
      <c r="AQ106" s="16">
        <f t="shared" si="24"/>
        <v>9.4024559851716608E+16</v>
      </c>
      <c r="AR106" s="16">
        <f t="shared" si="21"/>
        <v>214.66666666666654</v>
      </c>
    </row>
    <row r="107" spans="1:44" x14ac:dyDescent="0.3">
      <c r="A107">
        <v>107</v>
      </c>
      <c r="B107" t="s">
        <v>213</v>
      </c>
      <c r="C107" t="s">
        <v>27</v>
      </c>
      <c r="D107" t="s">
        <v>243</v>
      </c>
      <c r="E107" s="24">
        <v>263</v>
      </c>
      <c r="F107">
        <f t="shared" si="20"/>
        <v>156</v>
      </c>
      <c r="G107">
        <v>270</v>
      </c>
      <c r="H107">
        <f>(G107-(A107*'Atomic Particles'!C1))/'Atomic Particles'!C2+A107</f>
        <v>267.82761900952221</v>
      </c>
      <c r="I107" s="16">
        <f t="shared" si="25"/>
        <v>0.58777777777777873</v>
      </c>
      <c r="J107">
        <f>(('Atomic Particles'!C1)*A107)+(('Atomic Particles'!C2)*Elements!F107)</f>
        <v>265.13054523412717</v>
      </c>
      <c r="K107" s="17">
        <f>(E107^(1/3))*Constants!B108</f>
        <v>0</v>
      </c>
      <c r="L107" s="25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>
        <f t="shared" si="12"/>
        <v>103.4</v>
      </c>
      <c r="AH107" s="16">
        <f t="shared" si="27"/>
        <v>527.07758453115946</v>
      </c>
      <c r="AI107" s="16">
        <f t="shared" si="26"/>
        <v>0.85060532482859863</v>
      </c>
      <c r="AM107" s="15">
        <f t="shared" si="15"/>
        <v>0</v>
      </c>
      <c r="AN107">
        <f t="shared" si="16"/>
        <v>3.5999999999999943</v>
      </c>
      <c r="AO107" s="16">
        <f t="shared" si="17"/>
        <v>2.259377863809724E-41</v>
      </c>
      <c r="AP107" s="16">
        <f t="shared" si="23"/>
        <v>2.2593778638097241E-29</v>
      </c>
      <c r="AQ107" s="16">
        <f t="shared" si="24"/>
        <v>1.0069441283971947E+17</v>
      </c>
      <c r="AR107" s="16">
        <f t="shared" si="21"/>
        <v>205.72222222222257</v>
      </c>
    </row>
    <row r="108" spans="1:44" x14ac:dyDescent="0.3">
      <c r="A108">
        <v>108</v>
      </c>
      <c r="B108" t="s">
        <v>214</v>
      </c>
      <c r="C108" t="s">
        <v>34</v>
      </c>
      <c r="D108" t="s">
        <v>243</v>
      </c>
      <c r="E108" s="24">
        <v>264</v>
      </c>
      <c r="F108">
        <f t="shared" si="20"/>
        <v>156</v>
      </c>
      <c r="G108">
        <v>277</v>
      </c>
      <c r="H108">
        <f>(G108-(A108*'Atomic Particles'!C1))/'Atomic Particles'!C2+A108</f>
        <v>274.76885552044303</v>
      </c>
      <c r="I108" s="16">
        <f t="shared" si="25"/>
        <v>0.56426666666666669</v>
      </c>
      <c r="J108">
        <f>(('Atomic Particles'!C1)*A108)+(('Atomic Particles'!C2)*Elements!F108)</f>
        <v>266.13782244754918</v>
      </c>
      <c r="K108" s="17">
        <f>(E108^(1/3))*Constants!B109</f>
        <v>0</v>
      </c>
      <c r="L108" s="25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>
        <f t="shared" si="12"/>
        <v>104.25</v>
      </c>
      <c r="AH108" s="16">
        <f t="shared" si="27"/>
        <v>611.19086252275576</v>
      </c>
      <c r="AI108" s="16">
        <f t="shared" si="26"/>
        <v>0.75256115266755153</v>
      </c>
      <c r="AM108" s="15">
        <f t="shared" si="15"/>
        <v>0</v>
      </c>
      <c r="AN108">
        <f t="shared" si="16"/>
        <v>3.75</v>
      </c>
      <c r="AO108" s="16">
        <f t="shared" si="17"/>
        <v>1.9989529337155506E-41</v>
      </c>
      <c r="AP108" s="16">
        <f t="shared" si="23"/>
        <v>1.9989529337155506E-29</v>
      </c>
      <c r="AQ108" s="16">
        <f t="shared" si="24"/>
        <v>1.0755200554256867E+17</v>
      </c>
      <c r="AR108" s="16">
        <f t="shared" si="21"/>
        <v>197.49333333333334</v>
      </c>
    </row>
    <row r="109" spans="1:44" x14ac:dyDescent="0.3">
      <c r="A109">
        <v>109</v>
      </c>
      <c r="B109" t="s">
        <v>215</v>
      </c>
      <c r="C109" t="s">
        <v>35</v>
      </c>
      <c r="D109" t="s">
        <v>244</v>
      </c>
      <c r="E109" s="24">
        <v>272</v>
      </c>
      <c r="F109">
        <f t="shared" si="20"/>
        <v>163</v>
      </c>
      <c r="G109">
        <v>278</v>
      </c>
      <c r="H109">
        <f>(G109-(A109*'Atomic Particles'!C1))/'Atomic Particles'!C2+A109</f>
        <v>275.76164082895457</v>
      </c>
      <c r="I109" s="16">
        <f t="shared" si="25"/>
        <v>0.54256410256410181</v>
      </c>
      <c r="J109">
        <f>(('Atomic Particles'!C1)*A109)+(('Atomic Particles'!C2)*Elements!F109)</f>
        <v>274.20576109549552</v>
      </c>
      <c r="K109" s="17">
        <f>(E109^(1/3))*Constants!B110</f>
        <v>0</v>
      </c>
      <c r="L109" s="25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>
        <f t="shared" si="12"/>
        <v>105.1</v>
      </c>
      <c r="AH109" s="16">
        <f t="shared" si="27"/>
        <v>689.98857166015318</v>
      </c>
      <c r="AI109" s="16">
        <f t="shared" si="26"/>
        <v>0.66902412439863679</v>
      </c>
      <c r="AM109" s="15">
        <f t="shared" si="15"/>
        <v>0</v>
      </c>
      <c r="AN109">
        <f t="shared" si="16"/>
        <v>3.9000000000000057</v>
      </c>
      <c r="AO109" s="16">
        <f t="shared" si="17"/>
        <v>1.7770618792276593E-41</v>
      </c>
      <c r="AP109" s="16">
        <f t="shared" si="23"/>
        <v>1.7770618792276594E-29</v>
      </c>
      <c r="AQ109" s="16">
        <f t="shared" si="24"/>
        <v>1.145961146764364E+17</v>
      </c>
      <c r="AR109" s="16">
        <f t="shared" si="21"/>
        <v>189.89743589743563</v>
      </c>
    </row>
    <row r="110" spans="1:44" x14ac:dyDescent="0.3">
      <c r="A110">
        <v>110</v>
      </c>
      <c r="B110" t="s">
        <v>216</v>
      </c>
      <c r="C110" t="s">
        <v>42</v>
      </c>
      <c r="D110" t="s">
        <v>244</v>
      </c>
      <c r="E110" s="24">
        <v>270</v>
      </c>
      <c r="F110">
        <f t="shared" si="20"/>
        <v>160</v>
      </c>
      <c r="G110">
        <v>281</v>
      </c>
      <c r="H110">
        <f>(G110-(A110*'Atomic Particles'!C1))/'Atomic Particles'!C2+A110</f>
        <v>278.73724320493591</v>
      </c>
      <c r="I110" s="16">
        <f t="shared" si="25"/>
        <v>0.52246913580246956</v>
      </c>
      <c r="J110">
        <f>(('Atomic Particles'!C1)*A110)+(('Atomic Particles'!C2)*Elements!F110)</f>
        <v>272.18704055126432</v>
      </c>
      <c r="K110" s="17">
        <f>(E110^(1/3))*Constants!B111</f>
        <v>0</v>
      </c>
      <c r="L110" s="25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>
        <f t="shared" si="12"/>
        <v>105.95</v>
      </c>
      <c r="AH110" s="16">
        <f t="shared" si="27"/>
        <v>781.04250660896832</v>
      </c>
      <c r="AI110" s="16">
        <f t="shared" si="26"/>
        <v>0.59740730632680572</v>
      </c>
      <c r="AM110" s="15">
        <f t="shared" si="15"/>
        <v>0</v>
      </c>
      <c r="AN110">
        <f>A110-AG110</f>
        <v>4.0499999999999972</v>
      </c>
      <c r="AO110" s="16">
        <f t="shared" si="17"/>
        <v>1.5868332870652615E-41</v>
      </c>
      <c r="AP110" s="16">
        <f t="shared" si="23"/>
        <v>1.5868332870652614E-29</v>
      </c>
      <c r="AQ110" s="16">
        <f t="shared" si="24"/>
        <v>1.2182561465561038E+17</v>
      </c>
      <c r="AR110" s="16">
        <f t="shared" si="21"/>
        <v>182.86419753086435</v>
      </c>
    </row>
    <row r="111" spans="1:44" x14ac:dyDescent="0.3">
      <c r="A111">
        <v>111</v>
      </c>
      <c r="B111" t="s">
        <v>217</v>
      </c>
      <c r="C111" t="s">
        <v>43</v>
      </c>
      <c r="D111" t="s">
        <v>244</v>
      </c>
      <c r="E111" s="24">
        <v>278</v>
      </c>
      <c r="F111">
        <f t="shared" si="20"/>
        <v>167</v>
      </c>
      <c r="G111">
        <v>282</v>
      </c>
      <c r="H111">
        <f>(G111-(A111*'Atomic Particles'!C1))/'Atomic Particles'!C2+A111</f>
        <v>279.73002851344745</v>
      </c>
      <c r="I111" s="16">
        <f t="shared" si="25"/>
        <v>0.50380952380952349</v>
      </c>
      <c r="J111">
        <f>(('Atomic Particles'!C1)*A111)+(('Atomic Particles'!C2)*Elements!F111)</f>
        <v>280.2549791992106</v>
      </c>
      <c r="K111" s="17">
        <f>(E111^(1/3))*Constants!B112</f>
        <v>0</v>
      </c>
      <c r="L111" s="25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>
        <f t="shared" si="12"/>
        <v>106.8</v>
      </c>
      <c r="AH111" s="16">
        <f t="shared" si="27"/>
        <v>874.17877985873224</v>
      </c>
      <c r="AI111" s="16">
        <f t="shared" si="26"/>
        <v>0.53565816374045505</v>
      </c>
      <c r="AM111" s="15">
        <f t="shared" si="15"/>
        <v>0</v>
      </c>
      <c r="AN111">
        <f t="shared" ref="AN111:AN118" si="28">A111-AG111</f>
        <v>4.2000000000000028</v>
      </c>
      <c r="AO111" s="16">
        <f t="shared" si="17"/>
        <v>1.4228152145273965E-41</v>
      </c>
      <c r="AP111" s="16">
        <f t="shared" si="23"/>
        <v>1.4228152145273965E-29</v>
      </c>
      <c r="AQ111" s="16">
        <f t="shared" si="24"/>
        <v>1.2923946716717082E+17</v>
      </c>
      <c r="AR111" s="16">
        <f t="shared" si="21"/>
        <v>176.33333333333323</v>
      </c>
    </row>
    <row r="112" spans="1:44" x14ac:dyDescent="0.3">
      <c r="A112">
        <v>112</v>
      </c>
      <c r="B112" t="s">
        <v>218</v>
      </c>
      <c r="C112" t="s">
        <v>50</v>
      </c>
      <c r="D112" t="s">
        <v>244</v>
      </c>
      <c r="E112" s="24">
        <v>279</v>
      </c>
      <c r="F112">
        <f t="shared" si="20"/>
        <v>167</v>
      </c>
      <c r="G112">
        <v>285</v>
      </c>
      <c r="H112">
        <f>(G112-(A112*'Atomic Particles'!C1))/'Atomic Particles'!C2+A112</f>
        <v>282.70563088942879</v>
      </c>
      <c r="I112" s="16">
        <f t="shared" si="25"/>
        <v>0.48643678160919607</v>
      </c>
      <c r="J112">
        <f>(('Atomic Particles'!C1)*A112)+(('Atomic Particles'!C2)*Elements!F112)</f>
        <v>281.26225641263261</v>
      </c>
      <c r="K112" s="17">
        <f>(E112^(1/3))*Constants!B113</f>
        <v>0</v>
      </c>
      <c r="L112" s="25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>
        <f t="shared" si="12"/>
        <v>107.65</v>
      </c>
      <c r="AH112" s="16">
        <f t="shared" si="27"/>
        <v>981.55787428256303</v>
      </c>
      <c r="AI112" s="16">
        <f t="shared" si="26"/>
        <v>0.48213407726559265</v>
      </c>
      <c r="AM112" s="15">
        <f t="shared" si="15"/>
        <v>0</v>
      </c>
      <c r="AN112">
        <f t="shared" si="28"/>
        <v>4.3499999999999943</v>
      </c>
      <c r="AO112" s="16">
        <f t="shared" si="17"/>
        <v>1.2806445360328674E-41</v>
      </c>
      <c r="AP112" s="16">
        <f t="shared" si="23"/>
        <v>1.2806445360328673E-29</v>
      </c>
      <c r="AQ112" s="16">
        <f t="shared" si="24"/>
        <v>1.3683671214787045E+17</v>
      </c>
      <c r="AR112" s="16">
        <f t="shared" si="21"/>
        <v>170.25287356321863</v>
      </c>
    </row>
    <row r="113" spans="1:44" x14ac:dyDescent="0.3">
      <c r="A113">
        <v>113</v>
      </c>
      <c r="B113" t="s">
        <v>219</v>
      </c>
      <c r="C113" t="s">
        <v>55</v>
      </c>
      <c r="D113" t="s">
        <v>245</v>
      </c>
      <c r="E113" s="24">
        <v>282</v>
      </c>
      <c r="F113">
        <f t="shared" si="20"/>
        <v>169</v>
      </c>
      <c r="G113">
        <v>286</v>
      </c>
      <c r="H113">
        <f>(G113-(A113*'Atomic Particles'!C1))/'Atomic Particles'!C2+A113</f>
        <v>283.69841619794039</v>
      </c>
      <c r="I113" s="16">
        <f t="shared" si="25"/>
        <v>0.42320000000000002</v>
      </c>
      <c r="J113">
        <f>(('Atomic Particles'!C1)*A113)+(('Atomic Particles'!C2)*Elements!F113)</f>
        <v>284.28686546449012</v>
      </c>
      <c r="K113" s="17">
        <f>(E113^(1/3))*Constants!B114</f>
        <v>0</v>
      </c>
      <c r="L113" s="25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>
        <f t="shared" si="12"/>
        <v>108</v>
      </c>
      <c r="AH113" s="16">
        <f t="shared" si="27"/>
        <v>1495.8199689285364</v>
      </c>
      <c r="AI113" s="16">
        <f t="shared" si="26"/>
        <v>0.31748673628162327</v>
      </c>
      <c r="AM113" s="15">
        <f t="shared" si="15"/>
        <v>0</v>
      </c>
      <c r="AN113">
        <f t="shared" si="28"/>
        <v>5</v>
      </c>
      <c r="AO113" s="16">
        <f t="shared" si="17"/>
        <v>8.433082689112478E-42</v>
      </c>
      <c r="AP113" s="16">
        <f t="shared" si="23"/>
        <v>8.4330826891124781E-30</v>
      </c>
      <c r="AQ113" s="16">
        <f t="shared" si="24"/>
        <v>1.6937681501771117E+17</v>
      </c>
      <c r="AR113" s="16">
        <f t="shared" si="21"/>
        <v>148.12</v>
      </c>
    </row>
    <row r="114" spans="1:44" x14ac:dyDescent="0.3">
      <c r="A114">
        <v>114</v>
      </c>
      <c r="B114" t="s">
        <v>220</v>
      </c>
      <c r="C114" t="s">
        <v>56</v>
      </c>
      <c r="D114" t="s">
        <v>239</v>
      </c>
      <c r="E114" s="24">
        <v>285</v>
      </c>
      <c r="F114">
        <f t="shared" si="20"/>
        <v>171</v>
      </c>
      <c r="G114">
        <v>289</v>
      </c>
      <c r="H114">
        <f>(G114-(A114*'Atomic Particles'!C1))/'Atomic Particles'!C2+A114</f>
        <v>286.67401857392167</v>
      </c>
      <c r="I114" s="16">
        <f t="shared" si="25"/>
        <v>0.37451327433628284</v>
      </c>
      <c r="J114">
        <f>(('Atomic Particles'!C1)*A114)+(('Atomic Particles'!C2)*Elements!F114)</f>
        <v>287.31147451634769</v>
      </c>
      <c r="K114" s="17">
        <f>(E114^(1/3))*Constants!B115</f>
        <v>0</v>
      </c>
      <c r="L114" s="25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>
        <f t="shared" si="12"/>
        <v>108.35</v>
      </c>
      <c r="AH114" s="16">
        <f t="shared" si="27"/>
        <v>2180.9538045781374</v>
      </c>
      <c r="AI114" s="16">
        <f t="shared" si="26"/>
        <v>0.22003423410099429</v>
      </c>
      <c r="AM114" s="15">
        <f t="shared" si="15"/>
        <v>0</v>
      </c>
      <c r="AN114">
        <f t="shared" si="28"/>
        <v>5.6500000000000057</v>
      </c>
      <c r="AO114" s="16">
        <f t="shared" si="17"/>
        <v>5.8445493261906116E-42</v>
      </c>
      <c r="AP114" s="16">
        <f t="shared" si="23"/>
        <v>5.8445493261906117E-30</v>
      </c>
      <c r="AQ114" s="16">
        <f t="shared" si="24"/>
        <v>2.043547944067049E+17</v>
      </c>
      <c r="AR114" s="16">
        <f t="shared" si="21"/>
        <v>131.07964601769899</v>
      </c>
    </row>
    <row r="115" spans="1:44" x14ac:dyDescent="0.3">
      <c r="A115">
        <v>115</v>
      </c>
      <c r="B115" t="s">
        <v>221</v>
      </c>
      <c r="C115" t="s">
        <v>67</v>
      </c>
      <c r="D115" t="s">
        <v>245</v>
      </c>
      <c r="E115" s="24">
        <v>290</v>
      </c>
      <c r="F115">
        <f t="shared" si="20"/>
        <v>175</v>
      </c>
      <c r="G115">
        <v>290</v>
      </c>
      <c r="H115">
        <f>(G115-(A115*'Atomic Particles'!C1))/'Atomic Particles'!C2+A115</f>
        <v>287.66680388243327</v>
      </c>
      <c r="I115" s="16">
        <f t="shared" si="25"/>
        <v>0.33587301587301605</v>
      </c>
      <c r="J115">
        <f>(('Atomic Particles'!C1)*A115)+(('Atomic Particles'!C2)*Elements!F115)</f>
        <v>292.35341540664075</v>
      </c>
      <c r="K115" s="17">
        <f>(E115^(1/3))*Constants!B116</f>
        <v>0</v>
      </c>
      <c r="L115" s="25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>
        <f t="shared" si="12"/>
        <v>108.7</v>
      </c>
      <c r="AH115" s="16">
        <f t="shared" si="27"/>
        <v>3034.0513503075581</v>
      </c>
      <c r="AI115" s="16">
        <f t="shared" si="26"/>
        <v>0.15871352999717242</v>
      </c>
      <c r="AM115" s="15">
        <f t="shared" si="15"/>
        <v>0</v>
      </c>
      <c r="AN115">
        <f t="shared" si="28"/>
        <v>6.2999999999999972</v>
      </c>
      <c r="AO115" s="16">
        <f t="shared" si="17"/>
        <v>4.2157487837848929E-42</v>
      </c>
      <c r="AP115" s="16">
        <f t="shared" si="23"/>
        <v>4.215748783784893E-30</v>
      </c>
      <c r="AQ115" s="16">
        <f t="shared" si="24"/>
        <v>2.4166818376588778E+17</v>
      </c>
      <c r="AR115" s="16">
        <f t="shared" si="21"/>
        <v>117.55555555555561</v>
      </c>
    </row>
    <row r="116" spans="1:44" x14ac:dyDescent="0.3">
      <c r="A116">
        <v>116</v>
      </c>
      <c r="B116" t="s">
        <v>222</v>
      </c>
      <c r="C116" t="s">
        <v>68</v>
      </c>
      <c r="D116" t="s">
        <v>245</v>
      </c>
      <c r="E116" s="24">
        <v>291</v>
      </c>
      <c r="F116">
        <f t="shared" si="20"/>
        <v>175</v>
      </c>
      <c r="G116">
        <v>293</v>
      </c>
      <c r="H116">
        <f>(G116-(A116*'Atomic Particles'!C1))/'Atomic Particles'!C2+A116</f>
        <v>290.64240625841455</v>
      </c>
      <c r="I116" s="16">
        <f t="shared" si="25"/>
        <v>0.30446043165467612</v>
      </c>
      <c r="J116">
        <f>(('Atomic Particles'!C1)*A116)+(('Atomic Particles'!C2)*Elements!F116)</f>
        <v>293.36069262006276</v>
      </c>
      <c r="K116" s="17">
        <f>(E116^(1/3))*Constants!B117</f>
        <v>0</v>
      </c>
      <c r="L116" s="25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>
        <f t="shared" si="12"/>
        <v>109.05</v>
      </c>
      <c r="AH116" s="16">
        <f t="shared" si="27"/>
        <v>4115.5256679588474</v>
      </c>
      <c r="AI116" s="16">
        <f t="shared" si="26"/>
        <v>0.11821734068817014</v>
      </c>
      <c r="AM116" s="15">
        <f t="shared" si="15"/>
        <v>0</v>
      </c>
      <c r="AN116">
        <f t="shared" si="28"/>
        <v>6.9500000000000028</v>
      </c>
      <c r="AO116" s="16">
        <f t="shared" si="17"/>
        <v>3.1400890033591753E-42</v>
      </c>
      <c r="AP116" s="16">
        <f t="shared" si="23"/>
        <v>3.1400890033591753E-30</v>
      </c>
      <c r="AQ116" s="16">
        <f t="shared" si="24"/>
        <v>2.8123277704189667E+17</v>
      </c>
      <c r="AR116" s="16">
        <f t="shared" si="21"/>
        <v>106.56115107913665</v>
      </c>
    </row>
    <row r="117" spans="1:44" x14ac:dyDescent="0.3">
      <c r="A117">
        <v>117</v>
      </c>
      <c r="B117" t="s">
        <v>223</v>
      </c>
      <c r="C117" t="s">
        <v>74</v>
      </c>
      <c r="D117" t="s">
        <v>246</v>
      </c>
      <c r="E117" s="24">
        <v>293</v>
      </c>
      <c r="F117">
        <f t="shared" si="20"/>
        <v>176</v>
      </c>
      <c r="G117">
        <v>294</v>
      </c>
      <c r="H117">
        <f>(G117-(A117*'Atomic Particles'!C1))/'Atomic Particles'!C2+A117</f>
        <v>291.63519156692615</v>
      </c>
      <c r="I117" s="16">
        <f t="shared" si="25"/>
        <v>0.27842105263157918</v>
      </c>
      <c r="J117">
        <f>(('Atomic Particles'!C1)*A117)+(('Atomic Particles'!C2)*Elements!F117)</f>
        <v>295.37663575270255</v>
      </c>
      <c r="K117" s="17">
        <f>(E117^(1/3))*Constants!B118</f>
        <v>0</v>
      </c>
      <c r="L117" s="25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>
        <f t="shared" si="12"/>
        <v>109.4</v>
      </c>
      <c r="AH117" s="16">
        <f t="shared" si="27"/>
        <v>5399.9705064064119</v>
      </c>
      <c r="AI117" s="16">
        <f t="shared" si="26"/>
        <v>9.0405493774609547E-2</v>
      </c>
      <c r="AM117" s="15">
        <f t="shared" si="15"/>
        <v>0</v>
      </c>
      <c r="AN117">
        <f t="shared" si="28"/>
        <v>7.5999999999999943</v>
      </c>
      <c r="AO117" s="16">
        <f t="shared" si="17"/>
        <v>2.4013507256411793E-42</v>
      </c>
      <c r="AP117" s="16">
        <f t="shared" si="23"/>
        <v>2.4013507256411792E-30</v>
      </c>
      <c r="AQ117" s="16">
        <f t="shared" si="24"/>
        <v>3.2297808346734534E+17</v>
      </c>
      <c r="AR117" s="16">
        <f t="shared" si="21"/>
        <v>97.447368421052715</v>
      </c>
    </row>
    <row r="118" spans="1:44" x14ac:dyDescent="0.3">
      <c r="A118">
        <v>118</v>
      </c>
      <c r="B118" t="s">
        <v>224</v>
      </c>
      <c r="C118" t="s">
        <v>75</v>
      </c>
      <c r="D118" t="s">
        <v>247</v>
      </c>
      <c r="E118" s="24">
        <v>294</v>
      </c>
      <c r="F118">
        <f t="shared" si="20"/>
        <v>176</v>
      </c>
      <c r="G118">
        <v>294</v>
      </c>
      <c r="H118">
        <f>(G118-(A118*'Atomic Particles'!C1))/'Atomic Particles'!C2+A118</f>
        <v>291.63656834170285</v>
      </c>
      <c r="I118" s="16">
        <f t="shared" si="25"/>
        <v>0.25648484848484848</v>
      </c>
      <c r="J118">
        <f>(('Atomic Particles'!C1)*A118)+(('Atomic Particles'!C2)*Elements!F118)</f>
        <v>296.38391296612463</v>
      </c>
      <c r="K118" s="17">
        <f>(E118^(1/3))*Constants!B119</f>
        <v>0</v>
      </c>
      <c r="L118" s="25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>
        <f t="shared" si="12"/>
        <v>109.75</v>
      </c>
      <c r="AH118" s="16">
        <f t="shared" si="27"/>
        <v>6907.3658101726996</v>
      </c>
      <c r="AI118" s="16">
        <f t="shared" si="26"/>
        <v>7.0676291572835392E-2</v>
      </c>
      <c r="AM118" s="15">
        <f t="shared" si="15"/>
        <v>0</v>
      </c>
      <c r="AN118">
        <f t="shared" si="28"/>
        <v>8.25</v>
      </c>
      <c r="AO118" s="16">
        <f t="shared" si="17"/>
        <v>1.8773036567576544E-42</v>
      </c>
      <c r="AP118" s="16">
        <f t="shared" si="23"/>
        <v>1.8773036567576544E-30</v>
      </c>
      <c r="AQ118" s="16">
        <f t="shared" si="24"/>
        <v>3.6684420276429306E+17</v>
      </c>
      <c r="AR118" s="16">
        <f t="shared" si="21"/>
        <v>89.769696969696966</v>
      </c>
    </row>
    <row r="119" spans="1:44" x14ac:dyDescent="0.3">
      <c r="AI119" s="16"/>
      <c r="AM119" s="15">
        <f t="shared" si="15"/>
        <v>0</v>
      </c>
    </row>
    <row r="120" spans="1:44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19" t="s">
        <v>397</v>
      </c>
      <c r="H120" s="19" t="s">
        <v>341</v>
      </c>
      <c r="I120" s="21" t="s">
        <v>498</v>
      </c>
      <c r="J120" s="19" t="s">
        <v>471</v>
      </c>
      <c r="K120" s="19" t="s">
        <v>470</v>
      </c>
      <c r="L120" s="22" t="s">
        <v>472</v>
      </c>
      <c r="M120" s="23" t="s">
        <v>476</v>
      </c>
      <c r="N120" s="19" t="s">
        <v>477</v>
      </c>
      <c r="O120" s="19" t="s">
        <v>473</v>
      </c>
      <c r="P120" s="19" t="s">
        <v>474</v>
      </c>
      <c r="Q120" s="19" t="s">
        <v>475</v>
      </c>
      <c r="R120" s="19" t="s">
        <v>482</v>
      </c>
      <c r="S120" s="19" t="s">
        <v>478</v>
      </c>
      <c r="T120" s="19" t="s">
        <v>487</v>
      </c>
      <c r="U120" s="19" t="s">
        <v>483</v>
      </c>
      <c r="V120" s="19" t="s">
        <v>490</v>
      </c>
      <c r="W120" s="19" t="s">
        <v>479</v>
      </c>
      <c r="X120" s="19" t="s">
        <v>488</v>
      </c>
      <c r="Y120" s="19" t="s">
        <v>484</v>
      </c>
      <c r="Z120" s="19" t="s">
        <v>491</v>
      </c>
      <c r="AA120" s="19" t="s">
        <v>480</v>
      </c>
      <c r="AB120" s="19" t="s">
        <v>489</v>
      </c>
      <c r="AC120" s="19" t="s">
        <v>485</v>
      </c>
      <c r="AD120" s="19" t="s">
        <v>481</v>
      </c>
      <c r="AE120" s="19" t="s">
        <v>494</v>
      </c>
      <c r="AF120" s="19" t="s">
        <v>495</v>
      </c>
      <c r="AG120" s="19" t="s">
        <v>227</v>
      </c>
      <c r="AH120" s="19" t="s">
        <v>497</v>
      </c>
      <c r="AI120" s="19" t="s">
        <v>499</v>
      </c>
      <c r="AM120" s="19" t="s">
        <v>503</v>
      </c>
      <c r="AN120" s="19" t="s">
        <v>496</v>
      </c>
      <c r="AO120" s="19" t="s">
        <v>500</v>
      </c>
      <c r="AP120" s="19" t="s">
        <v>493</v>
      </c>
      <c r="AQ120" s="19" t="s">
        <v>501</v>
      </c>
      <c r="AR120" s="19" t="s">
        <v>502</v>
      </c>
    </row>
    <row r="122" spans="1:44" x14ac:dyDescent="0.3">
      <c r="B122" t="s">
        <v>476</v>
      </c>
      <c r="D122" t="s">
        <v>486</v>
      </c>
    </row>
    <row r="123" spans="1:44" x14ac:dyDescent="0.3">
      <c r="B123" t="s">
        <v>477</v>
      </c>
      <c r="D123" t="s">
        <v>473</v>
      </c>
    </row>
    <row r="124" spans="1:44" x14ac:dyDescent="0.3">
      <c r="B124" t="s">
        <v>474</v>
      </c>
      <c r="D124" t="s">
        <v>475</v>
      </c>
    </row>
    <row r="125" spans="1:44" x14ac:dyDescent="0.3">
      <c r="B125" t="s">
        <v>478</v>
      </c>
      <c r="C125" t="s">
        <v>482</v>
      </c>
      <c r="D125" t="s">
        <v>487</v>
      </c>
    </row>
    <row r="126" spans="1:44" x14ac:dyDescent="0.3">
      <c r="B126" t="s">
        <v>479</v>
      </c>
      <c r="C126" t="s">
        <v>483</v>
      </c>
      <c r="D126" t="s">
        <v>488</v>
      </c>
    </row>
    <row r="127" spans="1:44" x14ac:dyDescent="0.3">
      <c r="B127" t="s">
        <v>480</v>
      </c>
      <c r="C127" t="s">
        <v>484</v>
      </c>
      <c r="D127" t="s">
        <v>489</v>
      </c>
    </row>
    <row r="128" spans="1:44" x14ac:dyDescent="0.3">
      <c r="B128" t="s">
        <v>481</v>
      </c>
      <c r="C128" t="s">
        <v>485</v>
      </c>
    </row>
    <row r="129" spans="3:3" x14ac:dyDescent="0.3">
      <c r="C129" t="s">
        <v>490</v>
      </c>
    </row>
    <row r="130" spans="3:3" x14ac:dyDescent="0.3">
      <c r="C130" t="s">
        <v>491</v>
      </c>
    </row>
  </sheetData>
  <dataValidations count="100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  <dataValidation type="list" allowBlank="1" showInputMessage="1" showErrorMessage="1" sqref="L75" xr:uid="{1849DDCB-C571-4DB9-A8DA-964760F02E61}">
      <formula1>"68, 69, 70, 71, 72, 73, 74, 75, 76, 77, 78"</formula1>
    </dataValidation>
    <dataValidation type="list" allowBlank="1" showInputMessage="1" showErrorMessage="1" sqref="L76" xr:uid="{E0E88B7C-3EC7-4FE1-B5C3-8FC659D3C32A}">
      <formula1>"68, 70, 72, 73, 74, 76, 77, 78"</formula1>
    </dataValidation>
    <dataValidation type="list" allowBlank="1" showInputMessage="1" showErrorMessage="1" sqref="L77" xr:uid="{44858EEF-C772-4AA4-94A4-F56266C02896}">
      <formula1>"68, 69, 70, 71, 72, 73, 74, 75, 76, 77, 78, 79, 80, 81"</formula1>
    </dataValidation>
    <dataValidation type="list" allowBlank="1" showInputMessage="1" showErrorMessage="1" sqref="L78" xr:uid="{6932D61B-9A9C-4D25-A6F0-24D1A5F88E93}">
      <formula1>"72, 73, 74, 75, 76, 77, 78"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398</v>
      </c>
    </row>
    <row r="53" spans="1:3" x14ac:dyDescent="0.3">
      <c r="A53">
        <v>53</v>
      </c>
      <c r="B53" t="s">
        <v>398</v>
      </c>
    </row>
    <row r="54" spans="1:3" x14ac:dyDescent="0.3">
      <c r="A54">
        <v>54</v>
      </c>
      <c r="B54" t="s">
        <v>398</v>
      </c>
      <c r="C54" t="s">
        <v>400</v>
      </c>
    </row>
    <row r="55" spans="1:3" x14ac:dyDescent="0.3">
      <c r="A55">
        <v>55</v>
      </c>
      <c r="B55" t="s">
        <v>399</v>
      </c>
    </row>
    <row r="56" spans="1:3" x14ac:dyDescent="0.3">
      <c r="A56">
        <v>56</v>
      </c>
      <c r="B56" t="s">
        <v>400</v>
      </c>
    </row>
    <row r="57" spans="1:3" x14ac:dyDescent="0.3">
      <c r="A57">
        <v>57</v>
      </c>
      <c r="B57" t="s">
        <v>400</v>
      </c>
    </row>
    <row r="58" spans="1:3" x14ac:dyDescent="0.3">
      <c r="A58">
        <v>58</v>
      </c>
      <c r="B58" t="s">
        <v>400</v>
      </c>
      <c r="C58" t="s">
        <v>402</v>
      </c>
    </row>
    <row r="59" spans="1:3" x14ac:dyDescent="0.3">
      <c r="A59">
        <v>59</v>
      </c>
      <c r="B59" t="s">
        <v>401</v>
      </c>
    </row>
    <row r="60" spans="1:3" x14ac:dyDescent="0.3">
      <c r="A60">
        <v>60</v>
      </c>
      <c r="B60" t="s">
        <v>402</v>
      </c>
    </row>
    <row r="61" spans="1:3" x14ac:dyDescent="0.3">
      <c r="A61">
        <v>61</v>
      </c>
      <c r="B61" t="s">
        <v>402</v>
      </c>
    </row>
    <row r="62" spans="1:3" x14ac:dyDescent="0.3">
      <c r="A62">
        <v>62</v>
      </c>
      <c r="B62" t="s">
        <v>402</v>
      </c>
    </row>
    <row r="63" spans="1:3" x14ac:dyDescent="0.3">
      <c r="A63">
        <v>63</v>
      </c>
      <c r="B63" t="s">
        <v>403</v>
      </c>
    </row>
    <row r="64" spans="1:3" x14ac:dyDescent="0.3">
      <c r="A64">
        <v>64</v>
      </c>
      <c r="B64" t="s">
        <v>402</v>
      </c>
      <c r="C64" t="s">
        <v>404</v>
      </c>
    </row>
    <row r="65" spans="1:3" x14ac:dyDescent="0.3">
      <c r="A65">
        <v>65</v>
      </c>
      <c r="B65" t="s">
        <v>403</v>
      </c>
    </row>
    <row r="66" spans="1:3" x14ac:dyDescent="0.3">
      <c r="A66">
        <v>66</v>
      </c>
      <c r="B66" t="s">
        <v>404</v>
      </c>
    </row>
    <row r="67" spans="1:3" x14ac:dyDescent="0.3">
      <c r="A67">
        <v>67</v>
      </c>
      <c r="B67" t="s">
        <v>404</v>
      </c>
    </row>
    <row r="68" spans="1:3" x14ac:dyDescent="0.3">
      <c r="A68">
        <v>68</v>
      </c>
      <c r="B68" t="s">
        <v>404</v>
      </c>
    </row>
    <row r="69" spans="1:3" x14ac:dyDescent="0.3">
      <c r="A69">
        <v>69</v>
      </c>
      <c r="B69" t="s">
        <v>405</v>
      </c>
    </row>
    <row r="70" spans="1:3" x14ac:dyDescent="0.3">
      <c r="A70">
        <v>70</v>
      </c>
      <c r="B70" t="s">
        <v>404</v>
      </c>
      <c r="C70" t="s">
        <v>406</v>
      </c>
    </row>
    <row r="71" spans="1:3" x14ac:dyDescent="0.3">
      <c r="A71">
        <v>71</v>
      </c>
      <c r="B71" t="s">
        <v>405</v>
      </c>
    </row>
    <row r="72" spans="1:3" x14ac:dyDescent="0.3">
      <c r="A72">
        <v>72</v>
      </c>
      <c r="B72" t="s">
        <v>406</v>
      </c>
    </row>
    <row r="73" spans="1:3" x14ac:dyDescent="0.3">
      <c r="A73">
        <v>73</v>
      </c>
      <c r="B73" t="s">
        <v>406</v>
      </c>
    </row>
    <row r="74" spans="1:3" x14ac:dyDescent="0.3">
      <c r="A74">
        <v>74</v>
      </c>
      <c r="B74" t="s">
        <v>406</v>
      </c>
      <c r="C74" t="s">
        <v>408</v>
      </c>
    </row>
    <row r="75" spans="1:3" x14ac:dyDescent="0.3">
      <c r="A75">
        <v>75</v>
      </c>
      <c r="B75" t="s">
        <v>407</v>
      </c>
    </row>
    <row r="76" spans="1:3" x14ac:dyDescent="0.3">
      <c r="A76">
        <v>76</v>
      </c>
      <c r="B76" t="s">
        <v>406</v>
      </c>
      <c r="C76" t="s">
        <v>408</v>
      </c>
    </row>
    <row r="77" spans="1:3" x14ac:dyDescent="0.3">
      <c r="A77">
        <v>77</v>
      </c>
      <c r="B77" t="s">
        <v>408</v>
      </c>
    </row>
    <row r="78" spans="1:3" x14ac:dyDescent="0.3">
      <c r="A78">
        <v>78</v>
      </c>
      <c r="B78" t="s">
        <v>408</v>
      </c>
      <c r="C78" t="s">
        <v>410</v>
      </c>
    </row>
    <row r="79" spans="1:3" x14ac:dyDescent="0.3">
      <c r="A79">
        <v>79</v>
      </c>
      <c r="B79" t="s">
        <v>409</v>
      </c>
    </row>
    <row r="80" spans="1:3" x14ac:dyDescent="0.3">
      <c r="A80">
        <v>80</v>
      </c>
      <c r="B80" t="s">
        <v>408</v>
      </c>
      <c r="C80" t="s">
        <v>410</v>
      </c>
    </row>
    <row r="81" spans="1:4" x14ac:dyDescent="0.3">
      <c r="A81">
        <v>81</v>
      </c>
      <c r="B81" t="s">
        <v>409</v>
      </c>
    </row>
    <row r="82" spans="1:4" x14ac:dyDescent="0.3">
      <c r="A82">
        <v>82</v>
      </c>
      <c r="B82" t="s">
        <v>408</v>
      </c>
      <c r="C82" t="s">
        <v>410</v>
      </c>
    </row>
    <row r="83" spans="1:4" x14ac:dyDescent="0.3">
      <c r="A83">
        <v>83</v>
      </c>
      <c r="B83" t="s">
        <v>410</v>
      </c>
    </row>
    <row r="84" spans="1:4" x14ac:dyDescent="0.3">
      <c r="A84">
        <v>84</v>
      </c>
      <c r="B84" t="s">
        <v>410</v>
      </c>
      <c r="C84" t="s">
        <v>412</v>
      </c>
    </row>
    <row r="85" spans="1:4" x14ac:dyDescent="0.3">
      <c r="A85">
        <v>85</v>
      </c>
      <c r="B85" t="s">
        <v>411</v>
      </c>
    </row>
    <row r="86" spans="1:4" x14ac:dyDescent="0.3">
      <c r="A86">
        <v>86</v>
      </c>
      <c r="B86" t="s">
        <v>410</v>
      </c>
      <c r="C86" t="s">
        <v>412</v>
      </c>
    </row>
    <row r="87" spans="1:4" x14ac:dyDescent="0.3">
      <c r="A87">
        <v>87</v>
      </c>
      <c r="B87" t="s">
        <v>411</v>
      </c>
      <c r="C87" t="s">
        <v>412</v>
      </c>
    </row>
    <row r="88" spans="1:4" x14ac:dyDescent="0.3">
      <c r="A88">
        <v>88</v>
      </c>
      <c r="B88" t="s">
        <v>412</v>
      </c>
    </row>
    <row r="89" spans="1:4" x14ac:dyDescent="0.3">
      <c r="A89">
        <v>89</v>
      </c>
      <c r="B89" t="s">
        <v>413</v>
      </c>
    </row>
    <row r="90" spans="1:4" x14ac:dyDescent="0.3">
      <c r="A90">
        <v>90</v>
      </c>
      <c r="B90" t="s">
        <v>414</v>
      </c>
    </row>
    <row r="91" spans="1:4" x14ac:dyDescent="0.3">
      <c r="A91">
        <v>91</v>
      </c>
      <c r="B91" t="s">
        <v>414</v>
      </c>
    </row>
    <row r="92" spans="1:4" x14ac:dyDescent="0.3">
      <c r="A92">
        <v>92</v>
      </c>
      <c r="B92" t="s">
        <v>414</v>
      </c>
      <c r="C92" t="s">
        <v>415</v>
      </c>
    </row>
    <row r="93" spans="1:4" x14ac:dyDescent="0.3">
      <c r="A93">
        <v>93</v>
      </c>
      <c r="B93" t="s">
        <v>418</v>
      </c>
    </row>
    <row r="94" spans="1:4" x14ac:dyDescent="0.3">
      <c r="A94">
        <v>94</v>
      </c>
      <c r="B94" t="s">
        <v>414</v>
      </c>
      <c r="C94" t="s">
        <v>415</v>
      </c>
    </row>
    <row r="95" spans="1:4" x14ac:dyDescent="0.3">
      <c r="A95">
        <v>95</v>
      </c>
      <c r="B95" t="s">
        <v>415</v>
      </c>
    </row>
    <row r="96" spans="1:4" x14ac:dyDescent="0.3">
      <c r="A96">
        <v>96</v>
      </c>
      <c r="B96" t="s">
        <v>414</v>
      </c>
      <c r="C96" t="s">
        <v>415</v>
      </c>
      <c r="D96" t="s">
        <v>417</v>
      </c>
    </row>
    <row r="97" spans="1:4" x14ac:dyDescent="0.3">
      <c r="A97">
        <v>97</v>
      </c>
      <c r="B97" t="s">
        <v>415</v>
      </c>
      <c r="C97" t="s">
        <v>416</v>
      </c>
    </row>
    <row r="98" spans="1:4" x14ac:dyDescent="0.3">
      <c r="A98">
        <v>98</v>
      </c>
      <c r="B98" t="s">
        <v>415</v>
      </c>
      <c r="D98" t="s">
        <v>417</v>
      </c>
    </row>
    <row r="99" spans="1:4" x14ac:dyDescent="0.3">
      <c r="A99">
        <v>99</v>
      </c>
      <c r="B99" t="s">
        <v>417</v>
      </c>
    </row>
    <row r="100" spans="1:4" x14ac:dyDescent="0.3">
      <c r="A100">
        <v>100</v>
      </c>
      <c r="B100" t="s">
        <v>415</v>
      </c>
      <c r="C100" t="s">
        <v>417</v>
      </c>
    </row>
    <row r="101" spans="1:4" x14ac:dyDescent="0.3">
      <c r="A101">
        <v>101</v>
      </c>
      <c r="B101" t="s">
        <v>417</v>
      </c>
    </row>
    <row r="102" spans="1:4" x14ac:dyDescent="0.3">
      <c r="A102">
        <v>102</v>
      </c>
      <c r="B102" t="s">
        <v>417</v>
      </c>
      <c r="C102" t="s">
        <v>420</v>
      </c>
    </row>
    <row r="103" spans="1:4" x14ac:dyDescent="0.3">
      <c r="A103">
        <v>103</v>
      </c>
      <c r="B103" t="s">
        <v>419</v>
      </c>
    </row>
    <row r="104" spans="1:4" x14ac:dyDescent="0.3">
      <c r="A104">
        <v>104</v>
      </c>
      <c r="B104" t="s">
        <v>417</v>
      </c>
      <c r="C104" t="s">
        <v>420</v>
      </c>
    </row>
    <row r="105" spans="1:4" x14ac:dyDescent="0.3">
      <c r="A105">
        <v>105</v>
      </c>
      <c r="B105" t="s">
        <v>420</v>
      </c>
    </row>
    <row r="106" spans="1:4" x14ac:dyDescent="0.3">
      <c r="A106">
        <v>106</v>
      </c>
      <c r="B106" t="s">
        <v>420</v>
      </c>
      <c r="C106" t="s">
        <v>422</v>
      </c>
    </row>
    <row r="107" spans="1:4" x14ac:dyDescent="0.3">
      <c r="A107">
        <v>107</v>
      </c>
      <c r="B107" t="s">
        <v>421</v>
      </c>
    </row>
    <row r="108" spans="1:4" x14ac:dyDescent="0.3">
      <c r="A108">
        <v>108</v>
      </c>
      <c r="B108" t="s">
        <v>420</v>
      </c>
      <c r="C108" t="s">
        <v>422</v>
      </c>
    </row>
    <row r="109" spans="1:4" x14ac:dyDescent="0.3">
      <c r="A109">
        <v>109</v>
      </c>
      <c r="B109" t="s">
        <v>421</v>
      </c>
    </row>
    <row r="110" spans="1:4" x14ac:dyDescent="0.3">
      <c r="A110">
        <v>110</v>
      </c>
      <c r="B110" t="s">
        <v>420</v>
      </c>
      <c r="C110" t="s">
        <v>422</v>
      </c>
    </row>
    <row r="111" spans="1:4" x14ac:dyDescent="0.3">
      <c r="A111">
        <v>111</v>
      </c>
      <c r="B111" t="s">
        <v>422</v>
      </c>
    </row>
    <row r="112" spans="1:4" x14ac:dyDescent="0.3">
      <c r="A112">
        <v>112</v>
      </c>
      <c r="B112" t="s">
        <v>422</v>
      </c>
      <c r="C112" t="s">
        <v>424</v>
      </c>
    </row>
    <row r="113" spans="1:4" x14ac:dyDescent="0.3">
      <c r="A113">
        <v>113</v>
      </c>
      <c r="B113" t="s">
        <v>422</v>
      </c>
      <c r="C113" t="s">
        <v>423</v>
      </c>
    </row>
    <row r="114" spans="1:4" x14ac:dyDescent="0.3">
      <c r="A114">
        <v>114</v>
      </c>
      <c r="B114" t="s">
        <v>422</v>
      </c>
      <c r="C114" t="s">
        <v>424</v>
      </c>
    </row>
    <row r="115" spans="1:4" x14ac:dyDescent="0.3">
      <c r="A115">
        <v>115</v>
      </c>
      <c r="B115" t="s">
        <v>423</v>
      </c>
      <c r="C115" t="s">
        <v>424</v>
      </c>
    </row>
    <row r="116" spans="1:4" x14ac:dyDescent="0.3">
      <c r="A116">
        <v>116</v>
      </c>
      <c r="B116" t="s">
        <v>422</v>
      </c>
      <c r="C116" t="s">
        <v>424</v>
      </c>
    </row>
    <row r="117" spans="1:4" x14ac:dyDescent="0.3">
      <c r="A117">
        <v>117</v>
      </c>
      <c r="B117" t="s">
        <v>424</v>
      </c>
    </row>
    <row r="118" spans="1:4" x14ac:dyDescent="0.3">
      <c r="A118">
        <v>118</v>
      </c>
      <c r="B118" t="s">
        <v>424</v>
      </c>
    </row>
    <row r="119" spans="1:4" x14ac:dyDescent="0.3">
      <c r="A119">
        <v>119</v>
      </c>
      <c r="B119" t="s">
        <v>424</v>
      </c>
    </row>
    <row r="120" spans="1:4" x14ac:dyDescent="0.3">
      <c r="A120">
        <v>120</v>
      </c>
      <c r="B120" t="s">
        <v>424</v>
      </c>
      <c r="C120" t="s">
        <v>426</v>
      </c>
    </row>
    <row r="121" spans="1:4" x14ac:dyDescent="0.3">
      <c r="A121">
        <v>121</v>
      </c>
      <c r="B121" t="s">
        <v>424</v>
      </c>
    </row>
    <row r="122" spans="1:4" x14ac:dyDescent="0.3">
      <c r="A122">
        <v>122</v>
      </c>
      <c r="B122" t="s">
        <v>424</v>
      </c>
      <c r="C122" t="s">
        <v>426</v>
      </c>
    </row>
    <row r="123" spans="1:4" x14ac:dyDescent="0.3">
      <c r="A123">
        <v>123</v>
      </c>
      <c r="C123" t="s">
        <v>426</v>
      </c>
    </row>
    <row r="124" spans="1:4" x14ac:dyDescent="0.3">
      <c r="A124">
        <v>124</v>
      </c>
      <c r="B124" t="s">
        <v>424</v>
      </c>
      <c r="C124" t="s">
        <v>426</v>
      </c>
      <c r="D124" t="s">
        <v>428</v>
      </c>
    </row>
    <row r="125" spans="1:4" x14ac:dyDescent="0.3">
      <c r="A125">
        <v>125</v>
      </c>
      <c r="B125" t="s">
        <v>425</v>
      </c>
      <c r="C125" t="s">
        <v>426</v>
      </c>
    </row>
    <row r="126" spans="1:4" x14ac:dyDescent="0.3">
      <c r="A126">
        <v>126</v>
      </c>
      <c r="B126" t="s">
        <v>424</v>
      </c>
      <c r="C126" t="s">
        <v>426</v>
      </c>
      <c r="D126" t="s">
        <v>428</v>
      </c>
    </row>
    <row r="127" spans="1:4" x14ac:dyDescent="0.3">
      <c r="A127">
        <v>127</v>
      </c>
      <c r="B127" t="s">
        <v>425</v>
      </c>
      <c r="C127" t="s">
        <v>427</v>
      </c>
    </row>
    <row r="128" spans="1:4" x14ac:dyDescent="0.3">
      <c r="A128">
        <v>128</v>
      </c>
      <c r="B128" t="s">
        <v>426</v>
      </c>
      <c r="D128" t="s">
        <v>428</v>
      </c>
    </row>
    <row r="129" spans="1:4" x14ac:dyDescent="0.3">
      <c r="A129">
        <v>129</v>
      </c>
      <c r="B129" t="s">
        <v>428</v>
      </c>
    </row>
    <row r="130" spans="1:4" x14ac:dyDescent="0.3">
      <c r="A130">
        <v>130</v>
      </c>
      <c r="B130" t="s">
        <v>426</v>
      </c>
      <c r="C130" t="s">
        <v>428</v>
      </c>
      <c r="D130" t="s">
        <v>430</v>
      </c>
    </row>
    <row r="131" spans="1:4" x14ac:dyDescent="0.3">
      <c r="A131">
        <v>131</v>
      </c>
      <c r="B131" t="s">
        <v>428</v>
      </c>
    </row>
    <row r="132" spans="1:4" x14ac:dyDescent="0.3">
      <c r="A132">
        <v>132</v>
      </c>
      <c r="B132" t="s">
        <v>428</v>
      </c>
      <c r="C132" t="s">
        <v>430</v>
      </c>
    </row>
    <row r="133" spans="1:4" x14ac:dyDescent="0.3">
      <c r="A133">
        <v>133</v>
      </c>
      <c r="B133" t="s">
        <v>429</v>
      </c>
    </row>
    <row r="134" spans="1:4" x14ac:dyDescent="0.3">
      <c r="A134">
        <v>134</v>
      </c>
      <c r="B134" t="s">
        <v>428</v>
      </c>
      <c r="C134" t="s">
        <v>430</v>
      </c>
    </row>
    <row r="135" spans="1:4" x14ac:dyDescent="0.3">
      <c r="A135">
        <v>135</v>
      </c>
      <c r="B135" t="s">
        <v>430</v>
      </c>
    </row>
    <row r="136" spans="1:4" x14ac:dyDescent="0.3">
      <c r="A136">
        <v>136</v>
      </c>
      <c r="B136" t="s">
        <v>428</v>
      </c>
      <c r="C136" t="s">
        <v>430</v>
      </c>
      <c r="D136" t="s">
        <v>431</v>
      </c>
    </row>
    <row r="137" spans="1:4" x14ac:dyDescent="0.3">
      <c r="A137">
        <v>137</v>
      </c>
      <c r="B137" t="s">
        <v>430</v>
      </c>
    </row>
    <row r="138" spans="1:4" x14ac:dyDescent="0.3">
      <c r="A138">
        <v>138</v>
      </c>
      <c r="B138" t="s">
        <v>430</v>
      </c>
      <c r="C138" t="s">
        <v>431</v>
      </c>
      <c r="D138" t="s">
        <v>463</v>
      </c>
    </row>
    <row r="139" spans="1:4" x14ac:dyDescent="0.3">
      <c r="A139">
        <v>139</v>
      </c>
      <c r="B139" t="s">
        <v>463</v>
      </c>
    </row>
    <row r="140" spans="1:4" x14ac:dyDescent="0.3">
      <c r="A140">
        <v>140</v>
      </c>
      <c r="B140" t="s">
        <v>431</v>
      </c>
    </row>
    <row r="141" spans="1:4" x14ac:dyDescent="0.3">
      <c r="A141">
        <v>141</v>
      </c>
      <c r="B141" t="s">
        <v>432</v>
      </c>
    </row>
    <row r="142" spans="1:4" x14ac:dyDescent="0.3">
      <c r="A142">
        <v>142</v>
      </c>
      <c r="B142" t="s">
        <v>431</v>
      </c>
      <c r="C142" t="s">
        <v>433</v>
      </c>
    </row>
    <row r="143" spans="1:4" x14ac:dyDescent="0.3">
      <c r="A143">
        <v>143</v>
      </c>
      <c r="B143" t="s">
        <v>433</v>
      </c>
    </row>
    <row r="144" spans="1:4" x14ac:dyDescent="0.3">
      <c r="A144">
        <v>144</v>
      </c>
      <c r="B144" t="s">
        <v>433</v>
      </c>
      <c r="C144" t="s">
        <v>465</v>
      </c>
    </row>
    <row r="145" spans="1:3" x14ac:dyDescent="0.3">
      <c r="A145">
        <v>145</v>
      </c>
      <c r="B145" t="s">
        <v>433</v>
      </c>
      <c r="C145" t="s">
        <v>464</v>
      </c>
    </row>
    <row r="146" spans="1:3" x14ac:dyDescent="0.3">
      <c r="A146">
        <v>146</v>
      </c>
      <c r="B146" t="s">
        <v>433</v>
      </c>
    </row>
    <row r="147" spans="1:3" x14ac:dyDescent="0.3">
      <c r="A147">
        <v>147</v>
      </c>
      <c r="B147" t="s">
        <v>465</v>
      </c>
    </row>
    <row r="148" spans="1:3" x14ac:dyDescent="0.3">
      <c r="A148">
        <v>148</v>
      </c>
      <c r="B148" t="s">
        <v>433</v>
      </c>
      <c r="C148" t="s">
        <v>465</v>
      </c>
    </row>
    <row r="149" spans="1:3" x14ac:dyDescent="0.3">
      <c r="A149">
        <v>149</v>
      </c>
      <c r="B149" t="s">
        <v>465</v>
      </c>
    </row>
    <row r="150" spans="1:3" x14ac:dyDescent="0.3">
      <c r="A150">
        <v>150</v>
      </c>
      <c r="B150" t="s">
        <v>465</v>
      </c>
      <c r="C150" t="s">
        <v>433</v>
      </c>
    </row>
    <row r="151" spans="1:3" x14ac:dyDescent="0.3">
      <c r="A151">
        <v>151</v>
      </c>
      <c r="B151" t="s">
        <v>434</v>
      </c>
    </row>
    <row r="152" spans="1:3" x14ac:dyDescent="0.3">
      <c r="A152">
        <v>152</v>
      </c>
      <c r="B152" t="s">
        <v>465</v>
      </c>
      <c r="C152" t="s">
        <v>435</v>
      </c>
    </row>
    <row r="153" spans="1:3" x14ac:dyDescent="0.3">
      <c r="A153">
        <v>153</v>
      </c>
      <c r="B153" t="s">
        <v>434</v>
      </c>
    </row>
    <row r="154" spans="1:3" x14ac:dyDescent="0.3">
      <c r="A154">
        <v>154</v>
      </c>
      <c r="B154" t="s">
        <v>465</v>
      </c>
      <c r="C154" t="s">
        <v>435</v>
      </c>
    </row>
    <row r="155" spans="1:3" x14ac:dyDescent="0.3">
      <c r="A155">
        <v>155</v>
      </c>
      <c r="B155" t="s">
        <v>435</v>
      </c>
    </row>
    <row r="156" spans="1:3" x14ac:dyDescent="0.3">
      <c r="A156">
        <v>156</v>
      </c>
      <c r="B156" t="s">
        <v>435</v>
      </c>
      <c r="C156" t="s">
        <v>437</v>
      </c>
    </row>
    <row r="157" spans="1:3" x14ac:dyDescent="0.3">
      <c r="A157">
        <v>157</v>
      </c>
      <c r="B157" t="s">
        <v>435</v>
      </c>
    </row>
    <row r="158" spans="1:3" x14ac:dyDescent="0.3">
      <c r="A158">
        <v>158</v>
      </c>
      <c r="B158" t="s">
        <v>435</v>
      </c>
      <c r="C158" t="s">
        <v>437</v>
      </c>
    </row>
    <row r="159" spans="1:3" x14ac:dyDescent="0.3">
      <c r="A159">
        <v>159</v>
      </c>
      <c r="B159" t="s">
        <v>436</v>
      </c>
    </row>
    <row r="160" spans="1:3" x14ac:dyDescent="0.3">
      <c r="A160">
        <v>160</v>
      </c>
      <c r="B160" t="s">
        <v>435</v>
      </c>
      <c r="C160" t="s">
        <v>437</v>
      </c>
    </row>
    <row r="161" spans="1:4" x14ac:dyDescent="0.3">
      <c r="A161">
        <v>161</v>
      </c>
      <c r="B161" t="s">
        <v>437</v>
      </c>
    </row>
    <row r="162" spans="1:4" x14ac:dyDescent="0.3">
      <c r="A162">
        <v>162</v>
      </c>
      <c r="B162" t="s">
        <v>437</v>
      </c>
      <c r="C162" t="s">
        <v>439</v>
      </c>
    </row>
    <row r="163" spans="1:4" x14ac:dyDescent="0.3">
      <c r="A163">
        <v>163</v>
      </c>
      <c r="B163" t="s">
        <v>437</v>
      </c>
    </row>
    <row r="164" spans="1:4" x14ac:dyDescent="0.3">
      <c r="A164">
        <v>164</v>
      </c>
      <c r="B164" t="s">
        <v>437</v>
      </c>
      <c r="C164" t="s">
        <v>439</v>
      </c>
    </row>
    <row r="165" spans="1:4" x14ac:dyDescent="0.3">
      <c r="A165">
        <v>165</v>
      </c>
      <c r="B165" t="s">
        <v>438</v>
      </c>
    </row>
    <row r="166" spans="1:4" x14ac:dyDescent="0.3">
      <c r="A166">
        <v>166</v>
      </c>
      <c r="B166" t="s">
        <v>439</v>
      </c>
    </row>
    <row r="167" spans="1:4" x14ac:dyDescent="0.3">
      <c r="A167">
        <v>167</v>
      </c>
      <c r="B167" t="s">
        <v>439</v>
      </c>
    </row>
    <row r="168" spans="1:4" x14ac:dyDescent="0.3">
      <c r="A168">
        <v>168</v>
      </c>
      <c r="B168" t="s">
        <v>439</v>
      </c>
      <c r="C168" t="s">
        <v>441</v>
      </c>
    </row>
    <row r="169" spans="1:4" x14ac:dyDescent="0.3">
      <c r="A169">
        <v>169</v>
      </c>
      <c r="B169" t="s">
        <v>440</v>
      </c>
    </row>
    <row r="170" spans="1:4" x14ac:dyDescent="0.3">
      <c r="A170">
        <v>170</v>
      </c>
      <c r="B170" t="s">
        <v>439</v>
      </c>
      <c r="C170" t="s">
        <v>441</v>
      </c>
    </row>
    <row r="171" spans="1:4" x14ac:dyDescent="0.3">
      <c r="A171">
        <v>171</v>
      </c>
      <c r="B171" t="s">
        <v>441</v>
      </c>
    </row>
    <row r="172" spans="1:4" x14ac:dyDescent="0.3">
      <c r="A172">
        <v>172</v>
      </c>
      <c r="B172" t="s">
        <v>441</v>
      </c>
    </row>
    <row r="173" spans="1:4" x14ac:dyDescent="0.3">
      <c r="A173">
        <v>173</v>
      </c>
      <c r="B173" t="s">
        <v>441</v>
      </c>
    </row>
    <row r="174" spans="1:4" x14ac:dyDescent="0.3">
      <c r="A174">
        <v>174</v>
      </c>
      <c r="B174" t="s">
        <v>441</v>
      </c>
      <c r="C174" t="s">
        <v>443</v>
      </c>
    </row>
    <row r="175" spans="1:4" x14ac:dyDescent="0.3">
      <c r="A175">
        <v>175</v>
      </c>
      <c r="B175" t="s">
        <v>442</v>
      </c>
    </row>
    <row r="176" spans="1:4" x14ac:dyDescent="0.3">
      <c r="A176">
        <v>176</v>
      </c>
      <c r="B176" t="s">
        <v>441</v>
      </c>
      <c r="C176" t="s">
        <v>442</v>
      </c>
      <c r="D176" t="s">
        <v>443</v>
      </c>
    </row>
    <row r="177" spans="1:4" x14ac:dyDescent="0.3">
      <c r="A177">
        <v>177</v>
      </c>
      <c r="B177" t="s">
        <v>443</v>
      </c>
    </row>
    <row r="178" spans="1:4" x14ac:dyDescent="0.3">
      <c r="A178">
        <v>178</v>
      </c>
      <c r="B178" t="s">
        <v>443</v>
      </c>
    </row>
    <row r="179" spans="1:4" x14ac:dyDescent="0.3">
      <c r="A179">
        <v>179</v>
      </c>
      <c r="B179" t="s">
        <v>443</v>
      </c>
    </row>
    <row r="180" spans="1:4" x14ac:dyDescent="0.3">
      <c r="A180">
        <v>180</v>
      </c>
      <c r="B180" t="s">
        <v>443</v>
      </c>
      <c r="C180" t="s">
        <v>444</v>
      </c>
      <c r="D180" t="s">
        <v>445</v>
      </c>
    </row>
    <row r="181" spans="1:4" x14ac:dyDescent="0.3">
      <c r="A181">
        <v>181</v>
      </c>
      <c r="B181" t="s">
        <v>444</v>
      </c>
    </row>
    <row r="182" spans="1:4" x14ac:dyDescent="0.3">
      <c r="A182">
        <v>182</v>
      </c>
      <c r="B182" t="s">
        <v>445</v>
      </c>
    </row>
    <row r="183" spans="1:4" x14ac:dyDescent="0.3">
      <c r="A183">
        <v>183</v>
      </c>
      <c r="B183" t="s">
        <v>445</v>
      </c>
    </row>
    <row r="184" spans="1:4" x14ac:dyDescent="0.3">
      <c r="A184">
        <v>184</v>
      </c>
      <c r="B184" t="s">
        <v>445</v>
      </c>
      <c r="C184" t="s">
        <v>447</v>
      </c>
    </row>
    <row r="185" spans="1:4" x14ac:dyDescent="0.3">
      <c r="A185">
        <v>185</v>
      </c>
      <c r="B185" t="s">
        <v>446</v>
      </c>
    </row>
    <row r="186" spans="1:4" x14ac:dyDescent="0.3">
      <c r="A186">
        <v>186</v>
      </c>
      <c r="B186" t="s">
        <v>445</v>
      </c>
      <c r="C186" t="s">
        <v>447</v>
      </c>
    </row>
    <row r="187" spans="1:4" x14ac:dyDescent="0.3">
      <c r="A187">
        <v>187</v>
      </c>
      <c r="B187" t="s">
        <v>446</v>
      </c>
      <c r="C187" t="s">
        <v>447</v>
      </c>
    </row>
    <row r="188" spans="1:4" x14ac:dyDescent="0.3">
      <c r="A188">
        <v>188</v>
      </c>
      <c r="B188" t="s">
        <v>447</v>
      </c>
    </row>
    <row r="189" spans="1:4" x14ac:dyDescent="0.3">
      <c r="A189">
        <v>189</v>
      </c>
      <c r="B189" t="s">
        <v>447</v>
      </c>
    </row>
    <row r="190" spans="1:4" x14ac:dyDescent="0.3">
      <c r="A190">
        <v>190</v>
      </c>
      <c r="B190" t="s">
        <v>447</v>
      </c>
      <c r="C190" t="s">
        <v>448</v>
      </c>
    </row>
    <row r="191" spans="1:4" x14ac:dyDescent="0.3">
      <c r="A191">
        <v>191</v>
      </c>
      <c r="B191" t="s">
        <v>423</v>
      </c>
    </row>
    <row r="192" spans="1:4" x14ac:dyDescent="0.3">
      <c r="A192">
        <v>192</v>
      </c>
      <c r="B192" t="s">
        <v>447</v>
      </c>
      <c r="C192" t="s">
        <v>448</v>
      </c>
    </row>
    <row r="193" spans="1:3" x14ac:dyDescent="0.3">
      <c r="A193">
        <v>193</v>
      </c>
      <c r="B193" t="s">
        <v>423</v>
      </c>
    </row>
    <row r="194" spans="1:3" x14ac:dyDescent="0.3">
      <c r="A194">
        <v>194</v>
      </c>
      <c r="B194" t="s">
        <v>448</v>
      </c>
    </row>
    <row r="195" spans="1:3" x14ac:dyDescent="0.3">
      <c r="A195">
        <v>195</v>
      </c>
      <c r="B195" t="s">
        <v>448</v>
      </c>
    </row>
    <row r="196" spans="1:3" x14ac:dyDescent="0.3">
      <c r="A196">
        <v>196</v>
      </c>
      <c r="B196" t="s">
        <v>448</v>
      </c>
      <c r="C196" t="s">
        <v>450</v>
      </c>
    </row>
    <row r="197" spans="1:3" x14ac:dyDescent="0.3">
      <c r="A197">
        <v>197</v>
      </c>
      <c r="B197" t="s">
        <v>449</v>
      </c>
    </row>
    <row r="198" spans="1:3" x14ac:dyDescent="0.3">
      <c r="A198">
        <v>198</v>
      </c>
      <c r="B198" t="s">
        <v>448</v>
      </c>
      <c r="C198" t="s">
        <v>450</v>
      </c>
    </row>
    <row r="199" spans="1:3" x14ac:dyDescent="0.3">
      <c r="A199">
        <v>199</v>
      </c>
      <c r="B199" t="s">
        <v>450</v>
      </c>
    </row>
    <row r="200" spans="1:3" x14ac:dyDescent="0.3">
      <c r="A200">
        <v>200</v>
      </c>
      <c r="B200" t="s">
        <v>450</v>
      </c>
    </row>
    <row r="201" spans="1:3" x14ac:dyDescent="0.3">
      <c r="A201">
        <v>201</v>
      </c>
      <c r="B201" t="s">
        <v>450</v>
      </c>
    </row>
    <row r="202" spans="1:3" x14ac:dyDescent="0.3">
      <c r="A202">
        <v>202</v>
      </c>
      <c r="B202" t="s">
        <v>450</v>
      </c>
    </row>
    <row r="203" spans="1:3" x14ac:dyDescent="0.3">
      <c r="A203">
        <v>203</v>
      </c>
      <c r="B203" t="s">
        <v>451</v>
      </c>
    </row>
    <row r="204" spans="1:3" x14ac:dyDescent="0.3">
      <c r="A204">
        <v>204</v>
      </c>
      <c r="B204" t="s">
        <v>450</v>
      </c>
      <c r="C204" t="s">
        <v>452</v>
      </c>
    </row>
    <row r="205" spans="1:3" x14ac:dyDescent="0.3">
      <c r="A205">
        <v>205</v>
      </c>
      <c r="B205" t="s">
        <v>451</v>
      </c>
    </row>
    <row r="206" spans="1:3" x14ac:dyDescent="0.3">
      <c r="A206">
        <v>206</v>
      </c>
      <c r="B206" t="s">
        <v>452</v>
      </c>
    </row>
    <row r="207" spans="1:3" x14ac:dyDescent="0.3">
      <c r="A207">
        <v>207</v>
      </c>
      <c r="B207" t="s">
        <v>452</v>
      </c>
    </row>
    <row r="208" spans="1:3" x14ac:dyDescent="0.3">
      <c r="A208">
        <v>208</v>
      </c>
      <c r="B208" t="s">
        <v>452</v>
      </c>
    </row>
    <row r="209" spans="1:3" x14ac:dyDescent="0.3">
      <c r="A209">
        <v>209</v>
      </c>
      <c r="B209" t="s">
        <v>453</v>
      </c>
      <c r="C209" t="s">
        <v>454</v>
      </c>
    </row>
    <row r="210" spans="1:3" x14ac:dyDescent="0.3">
      <c r="A210">
        <v>210</v>
      </c>
      <c r="B210" t="s">
        <v>455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456</v>
      </c>
    </row>
    <row r="223" spans="1:3" x14ac:dyDescent="0.3">
      <c r="A223">
        <v>223</v>
      </c>
      <c r="B223" t="s">
        <v>457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459</v>
      </c>
    </row>
    <row r="227" spans="1:2" x14ac:dyDescent="0.3">
      <c r="A227">
        <v>227</v>
      </c>
      <c r="B227" t="s">
        <v>458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460</v>
      </c>
    </row>
    <row r="231" spans="1:2" x14ac:dyDescent="0.3">
      <c r="A231">
        <v>231</v>
      </c>
    </row>
    <row r="232" spans="1:2" x14ac:dyDescent="0.3">
      <c r="A232">
        <v>232</v>
      </c>
      <c r="B232" t="s">
        <v>460</v>
      </c>
    </row>
    <row r="233" spans="1:2" x14ac:dyDescent="0.3">
      <c r="A233">
        <v>233</v>
      </c>
    </row>
    <row r="234" spans="1:2" x14ac:dyDescent="0.3">
      <c r="A234">
        <v>234</v>
      </c>
      <c r="B234" t="s">
        <v>461</v>
      </c>
    </row>
    <row r="235" spans="1:2" x14ac:dyDescent="0.3">
      <c r="A235">
        <v>235</v>
      </c>
      <c r="B235" t="s">
        <v>461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492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462</v>
      </c>
      <c r="B1">
        <f>(8.314*'Derived SI Units'!C6)/'SI Units'!C1</f>
        <v>8.3140000000000001</v>
      </c>
    </row>
    <row r="2" spans="1:2" x14ac:dyDescent="0.3">
      <c r="A2" t="s">
        <v>469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2026-02-08T03:51:11Z</dcterms:modified>
</cp:coreProperties>
</file>