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7FB65E0A-7623-4A6B-9497-0F3280824720}" xr6:coauthVersionLast="47" xr6:coauthVersionMax="47" xr10:uidLastSave="{00000000-0000-0000-0000-000000000000}"/>
  <bookViews>
    <workbookView xWindow="564" yWindow="1056" windowWidth="35136" windowHeight="23352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6" i="2" l="1"/>
  <c r="AR74" i="2"/>
  <c r="AR77" i="2"/>
  <c r="AR82" i="2"/>
  <c r="AR93" i="2"/>
  <c r="AR95" i="2"/>
  <c r="AR109" i="2"/>
  <c r="AR111" i="2"/>
  <c r="AR34" i="2"/>
  <c r="AR37" i="2"/>
  <c r="AR38" i="2"/>
  <c r="AR42" i="2"/>
  <c r="AR43" i="2"/>
  <c r="AR45" i="2"/>
  <c r="AR46" i="2"/>
  <c r="AR50" i="2"/>
  <c r="AR53" i="2"/>
  <c r="AR54" i="2"/>
  <c r="AR58" i="2"/>
  <c r="AR59" i="2"/>
  <c r="AR61" i="2"/>
  <c r="AR62" i="2"/>
  <c r="AR6" i="2"/>
  <c r="AR7" i="2"/>
  <c r="AR9" i="2"/>
  <c r="AR10" i="2"/>
  <c r="AR11" i="2"/>
  <c r="AR12" i="2"/>
  <c r="AR14" i="2"/>
  <c r="AR22" i="2"/>
  <c r="AR23" i="2"/>
  <c r="AR26" i="2"/>
  <c r="AR28" i="2"/>
  <c r="AR30" i="2"/>
  <c r="AQ94" i="2"/>
  <c r="AQ105" i="2"/>
  <c r="AQ58" i="2"/>
  <c r="AQ63" i="2"/>
  <c r="AQ66" i="2"/>
  <c r="AQ82" i="2"/>
  <c r="AQ34" i="2"/>
  <c r="AQ50" i="2"/>
  <c r="AQ9" i="2"/>
  <c r="AQ17" i="2"/>
  <c r="AO94" i="2"/>
  <c r="AO95" i="2"/>
  <c r="AO96" i="2"/>
  <c r="AO97" i="2"/>
  <c r="AO99" i="2"/>
  <c r="AO107" i="2"/>
  <c r="AO108" i="2"/>
  <c r="AO110" i="2"/>
  <c r="AO111" i="2"/>
  <c r="AO112" i="2"/>
  <c r="AO113" i="2"/>
  <c r="AO115" i="2"/>
  <c r="AO50" i="2"/>
  <c r="AO51" i="2"/>
  <c r="AO53" i="2"/>
  <c r="AO54" i="2"/>
  <c r="AO58" i="2"/>
  <c r="AO59" i="2"/>
  <c r="AO61" i="2"/>
  <c r="AO62" i="2"/>
  <c r="AO66" i="2"/>
  <c r="AO67" i="2"/>
  <c r="AO69" i="2"/>
  <c r="AO70" i="2"/>
  <c r="AO74" i="2"/>
  <c r="AO75" i="2"/>
  <c r="AO77" i="2"/>
  <c r="AO78" i="2"/>
  <c r="AO82" i="2"/>
  <c r="AO83" i="2"/>
  <c r="AO85" i="2"/>
  <c r="AO86" i="2"/>
  <c r="AO91" i="2"/>
  <c r="AO10" i="2"/>
  <c r="AO11" i="2"/>
  <c r="AO14" i="2"/>
  <c r="AO16" i="2"/>
  <c r="AO26" i="2"/>
  <c r="AO27" i="2"/>
  <c r="AO29" i="2"/>
  <c r="AO30" i="2"/>
  <c r="AO31" i="2"/>
  <c r="AO32" i="2"/>
  <c r="AO34" i="2"/>
  <c r="AO42" i="2"/>
  <c r="AO43" i="2"/>
  <c r="AO45" i="2"/>
  <c r="AO46" i="2"/>
  <c r="AO47" i="2"/>
  <c r="AO48" i="2"/>
  <c r="AH112" i="2"/>
  <c r="AH82" i="2"/>
  <c r="AH46" i="2"/>
  <c r="AH61" i="2"/>
  <c r="AH62" i="2"/>
  <c r="AH6" i="2"/>
  <c r="AH9" i="2"/>
  <c r="AH14" i="2"/>
  <c r="AI102" i="2"/>
  <c r="AQ102" i="2" s="1"/>
  <c r="AI105" i="2"/>
  <c r="AH105" i="2" s="1"/>
  <c r="AI107" i="2"/>
  <c r="AH107" i="2" s="1"/>
  <c r="AI108" i="2"/>
  <c r="AH108" i="2" s="1"/>
  <c r="AI109" i="2"/>
  <c r="AH109" i="2" s="1"/>
  <c r="AI110" i="2"/>
  <c r="AQ110" i="2" s="1"/>
  <c r="AI112" i="2"/>
  <c r="AQ112" i="2" s="1"/>
  <c r="AI113" i="2"/>
  <c r="AQ113" i="2" s="1"/>
  <c r="AI118" i="2"/>
  <c r="AH118" i="2" s="1"/>
  <c r="AI64" i="2"/>
  <c r="AQ64" i="2" s="1"/>
  <c r="AI65" i="2"/>
  <c r="AQ65" i="2" s="1"/>
  <c r="AI66" i="2"/>
  <c r="AH66" i="2" s="1"/>
  <c r="AI69" i="2"/>
  <c r="AH69" i="2" s="1"/>
  <c r="AI70" i="2"/>
  <c r="AQ70" i="2" s="1"/>
  <c r="AI77" i="2"/>
  <c r="AH77" i="2" s="1"/>
  <c r="AI78" i="2"/>
  <c r="AH78" i="2" s="1"/>
  <c r="AI80" i="2"/>
  <c r="AQ80" i="2" s="1"/>
  <c r="AI81" i="2"/>
  <c r="AQ81" i="2" s="1"/>
  <c r="AI82" i="2"/>
  <c r="AI85" i="2"/>
  <c r="AQ85" i="2" s="1"/>
  <c r="AI86" i="2"/>
  <c r="AQ86" i="2" s="1"/>
  <c r="AI94" i="2"/>
  <c r="AH94" i="2" s="1"/>
  <c r="AI96" i="2"/>
  <c r="AQ96" i="2" s="1"/>
  <c r="AI97" i="2"/>
  <c r="AQ97" i="2" s="1"/>
  <c r="AI99" i="2"/>
  <c r="AQ99" i="2" s="1"/>
  <c r="AI100" i="2"/>
  <c r="AQ100" i="2" s="1"/>
  <c r="AI32" i="2"/>
  <c r="AH32" i="2" s="1"/>
  <c r="AI34" i="2"/>
  <c r="AH34" i="2" s="1"/>
  <c r="AI35" i="2"/>
  <c r="AH35" i="2" s="1"/>
  <c r="AI42" i="2"/>
  <c r="AH42" i="2" s="1"/>
  <c r="AI43" i="2"/>
  <c r="AH43" i="2" s="1"/>
  <c r="AI45" i="2"/>
  <c r="AH45" i="2" s="1"/>
  <c r="AI46" i="2"/>
  <c r="AQ46" i="2" s="1"/>
  <c r="AI47" i="2"/>
  <c r="AH47" i="2" s="1"/>
  <c r="AI48" i="2"/>
  <c r="AH48" i="2" s="1"/>
  <c r="AI50" i="2"/>
  <c r="AH50" i="2" s="1"/>
  <c r="AI51" i="2"/>
  <c r="AH51" i="2" s="1"/>
  <c r="AI58" i="2"/>
  <c r="AH58" i="2" s="1"/>
  <c r="AI59" i="2"/>
  <c r="AQ59" i="2" s="1"/>
  <c r="AI61" i="2"/>
  <c r="AQ61" i="2" s="1"/>
  <c r="AI62" i="2"/>
  <c r="AQ62" i="2" s="1"/>
  <c r="AI63" i="2"/>
  <c r="AH63" i="2" s="1"/>
  <c r="AI3" i="2"/>
  <c r="AQ3" i="2" s="1"/>
  <c r="AI6" i="2"/>
  <c r="AQ6" i="2" s="1"/>
  <c r="AI9" i="2"/>
  <c r="AI10" i="2"/>
  <c r="AQ10" i="2" s="1"/>
  <c r="AI11" i="2"/>
  <c r="AQ11" i="2" s="1"/>
  <c r="AI14" i="2"/>
  <c r="AQ14" i="2" s="1"/>
  <c r="AI17" i="2"/>
  <c r="AH17" i="2" s="1"/>
  <c r="AI18" i="2"/>
  <c r="AQ18" i="2" s="1"/>
  <c r="AI19" i="2"/>
  <c r="AQ19" i="2" s="1"/>
  <c r="AI22" i="2"/>
  <c r="AQ22" i="2" s="1"/>
  <c r="AI26" i="2"/>
  <c r="AH26" i="2" s="1"/>
  <c r="AI27" i="2"/>
  <c r="AH27" i="2" s="1"/>
  <c r="AI29" i="2"/>
  <c r="AH29" i="2" s="1"/>
  <c r="AI30" i="2"/>
  <c r="AQ30" i="2" s="1"/>
  <c r="I2" i="2"/>
  <c r="AO2" i="2" s="1"/>
  <c r="I89" i="2"/>
  <c r="AI89" i="2" s="1"/>
  <c r="I90" i="2"/>
  <c r="AI90" i="2" s="1"/>
  <c r="I91" i="2"/>
  <c r="AI91" i="2" s="1"/>
  <c r="I92" i="2"/>
  <c r="AO92" i="2" s="1"/>
  <c r="I93" i="2"/>
  <c r="AI93" i="2" s="1"/>
  <c r="I94" i="2"/>
  <c r="AR94" i="2" s="1"/>
  <c r="I95" i="2"/>
  <c r="AI95" i="2" s="1"/>
  <c r="I96" i="2"/>
  <c r="AR96" i="2" s="1"/>
  <c r="I97" i="2"/>
  <c r="AR97" i="2" s="1"/>
  <c r="I98" i="2"/>
  <c r="AR98" i="2" s="1"/>
  <c r="I99" i="2"/>
  <c r="AR99" i="2" s="1"/>
  <c r="I100" i="2"/>
  <c r="AR100" i="2" s="1"/>
  <c r="I101" i="2"/>
  <c r="AR101" i="2" s="1"/>
  <c r="I102" i="2"/>
  <c r="AR102" i="2" s="1"/>
  <c r="I103" i="2"/>
  <c r="AR103" i="2" s="1"/>
  <c r="I104" i="2"/>
  <c r="AO104" i="2" s="1"/>
  <c r="I105" i="2"/>
  <c r="AR105" i="2" s="1"/>
  <c r="I106" i="2"/>
  <c r="AR106" i="2" s="1"/>
  <c r="I107" i="2"/>
  <c r="AR107" i="2" s="1"/>
  <c r="I108" i="2"/>
  <c r="AR108" i="2" s="1"/>
  <c r="I109" i="2"/>
  <c r="AO109" i="2" s="1"/>
  <c r="I110" i="2"/>
  <c r="AR110" i="2" s="1"/>
  <c r="I111" i="2"/>
  <c r="AI111" i="2" s="1"/>
  <c r="I112" i="2"/>
  <c r="AR112" i="2" s="1"/>
  <c r="I113" i="2"/>
  <c r="AR113" i="2" s="1"/>
  <c r="I114" i="2"/>
  <c r="AR114" i="2" s="1"/>
  <c r="I115" i="2"/>
  <c r="AR115" i="2" s="1"/>
  <c r="I116" i="2"/>
  <c r="AR116" i="2" s="1"/>
  <c r="I117" i="2"/>
  <c r="AR117" i="2" s="1"/>
  <c r="I118" i="2"/>
  <c r="AR118" i="2" s="1"/>
  <c r="I119" i="2"/>
  <c r="AR119" i="2" s="1"/>
  <c r="I55" i="2"/>
  <c r="AI55" i="2" s="1"/>
  <c r="I56" i="2"/>
  <c r="AI56" i="2" s="1"/>
  <c r="I57" i="2"/>
  <c r="AI57" i="2" s="1"/>
  <c r="I58" i="2"/>
  <c r="I59" i="2"/>
  <c r="I60" i="2"/>
  <c r="AR60" i="2" s="1"/>
  <c r="I61" i="2"/>
  <c r="I62" i="2"/>
  <c r="I63" i="2"/>
  <c r="AR63" i="2" s="1"/>
  <c r="I64" i="2"/>
  <c r="AR64" i="2" s="1"/>
  <c r="I65" i="2"/>
  <c r="AR65" i="2" s="1"/>
  <c r="I66" i="2"/>
  <c r="I67" i="2"/>
  <c r="AR67" i="2" s="1"/>
  <c r="I68" i="2"/>
  <c r="AR68" i="2" s="1"/>
  <c r="I69" i="2"/>
  <c r="AR69" i="2" s="1"/>
  <c r="I70" i="2"/>
  <c r="AR70" i="2" s="1"/>
  <c r="I71" i="2"/>
  <c r="AI71" i="2" s="1"/>
  <c r="I72" i="2"/>
  <c r="AI72" i="2" s="1"/>
  <c r="I73" i="2"/>
  <c r="AI73" i="2" s="1"/>
  <c r="I74" i="2"/>
  <c r="AI74" i="2" s="1"/>
  <c r="I75" i="2"/>
  <c r="AI75" i="2" s="1"/>
  <c r="I76" i="2"/>
  <c r="AO76" i="2" s="1"/>
  <c r="I77" i="2"/>
  <c r="I78" i="2"/>
  <c r="AR78" i="2" s="1"/>
  <c r="I79" i="2"/>
  <c r="AO79" i="2" s="1"/>
  <c r="I80" i="2"/>
  <c r="AO80" i="2" s="1"/>
  <c r="I81" i="2"/>
  <c r="AO81" i="2" s="1"/>
  <c r="I82" i="2"/>
  <c r="I83" i="2"/>
  <c r="AR83" i="2" s="1"/>
  <c r="I84" i="2"/>
  <c r="AR84" i="2" s="1"/>
  <c r="I85" i="2"/>
  <c r="AR85" i="2" s="1"/>
  <c r="I86" i="2"/>
  <c r="AR86" i="2" s="1"/>
  <c r="I87" i="2"/>
  <c r="AI87" i="2" s="1"/>
  <c r="I88" i="2"/>
  <c r="AI88" i="2" s="1"/>
  <c r="I25" i="2"/>
  <c r="AI25" i="2" s="1"/>
  <c r="I26" i="2"/>
  <c r="I27" i="2"/>
  <c r="AR27" i="2" s="1"/>
  <c r="I28" i="2"/>
  <c r="AI28" i="2" s="1"/>
  <c r="I29" i="2"/>
  <c r="AR29" i="2" s="1"/>
  <c r="I30" i="2"/>
  <c r="I31" i="2"/>
  <c r="AR31" i="2" s="1"/>
  <c r="I32" i="2"/>
  <c r="AR32" i="2" s="1"/>
  <c r="I33" i="2"/>
  <c r="AO33" i="2" s="1"/>
  <c r="I34" i="2"/>
  <c r="I35" i="2"/>
  <c r="AO35" i="2" s="1"/>
  <c r="I36" i="2"/>
  <c r="AO36" i="2" s="1"/>
  <c r="I37" i="2"/>
  <c r="AO37" i="2" s="1"/>
  <c r="I38" i="2"/>
  <c r="AO38" i="2" s="1"/>
  <c r="I39" i="2"/>
  <c r="AI39" i="2" s="1"/>
  <c r="I40" i="2"/>
  <c r="AI40" i="2" s="1"/>
  <c r="I41" i="2"/>
  <c r="AO41" i="2" s="1"/>
  <c r="I42" i="2"/>
  <c r="I43" i="2"/>
  <c r="I44" i="2"/>
  <c r="AR44" i="2" s="1"/>
  <c r="I45" i="2"/>
  <c r="I46" i="2"/>
  <c r="I47" i="2"/>
  <c r="AR47" i="2" s="1"/>
  <c r="I48" i="2"/>
  <c r="AR48" i="2" s="1"/>
  <c r="I49" i="2"/>
  <c r="AO49" i="2" s="1"/>
  <c r="I50" i="2"/>
  <c r="I51" i="2"/>
  <c r="AR51" i="2" s="1"/>
  <c r="I52" i="2"/>
  <c r="AI52" i="2" s="1"/>
  <c r="I53" i="2"/>
  <c r="AI53" i="2" s="1"/>
  <c r="I54" i="2"/>
  <c r="AI54" i="2" s="1"/>
  <c r="I3" i="2"/>
  <c r="AO3" i="2" s="1"/>
  <c r="I4" i="2"/>
  <c r="AI4" i="2" s="1"/>
  <c r="I5" i="2"/>
  <c r="AI5" i="2" s="1"/>
  <c r="I6" i="2"/>
  <c r="AO6" i="2" s="1"/>
  <c r="I7" i="2"/>
  <c r="AI7" i="2" s="1"/>
  <c r="I8" i="2"/>
  <c r="AI8" i="2" s="1"/>
  <c r="I9" i="2"/>
  <c r="AO9" i="2" s="1"/>
  <c r="I10" i="2"/>
  <c r="I11" i="2"/>
  <c r="I12" i="2"/>
  <c r="AI12" i="2" s="1"/>
  <c r="I13" i="2"/>
  <c r="AR13" i="2" s="1"/>
  <c r="I14" i="2"/>
  <c r="I15" i="2"/>
  <c r="AR15" i="2" s="1"/>
  <c r="I16" i="2"/>
  <c r="AR16" i="2" s="1"/>
  <c r="I17" i="2"/>
  <c r="AO17" i="2" s="1"/>
  <c r="I18" i="2"/>
  <c r="AO18" i="2" s="1"/>
  <c r="I19" i="2"/>
  <c r="AO19" i="2" s="1"/>
  <c r="I20" i="2"/>
  <c r="AI20" i="2" s="1"/>
  <c r="I21" i="2"/>
  <c r="AI21" i="2" s="1"/>
  <c r="I22" i="2"/>
  <c r="AO22" i="2" s="1"/>
  <c r="I23" i="2"/>
  <c r="AI23" i="2" s="1"/>
  <c r="I24" i="2"/>
  <c r="AO24" i="2" s="1"/>
  <c r="AN111" i="2"/>
  <c r="AN112" i="2"/>
  <c r="AN113" i="2"/>
  <c r="AN114" i="2"/>
  <c r="AN115" i="2"/>
  <c r="AN116" i="2"/>
  <c r="AN117" i="2"/>
  <c r="AN118" i="2"/>
  <c r="AN119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B2" i="10"/>
  <c r="K97" i="2" s="1"/>
  <c r="F41" i="2"/>
  <c r="F40" i="2"/>
  <c r="F3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3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Q20" i="2" l="1"/>
  <c r="AH20" i="2"/>
  <c r="AH88" i="2"/>
  <c r="AQ88" i="2"/>
  <c r="AH87" i="2"/>
  <c r="AQ87" i="2"/>
  <c r="AQ72" i="2"/>
  <c r="AH72" i="2"/>
  <c r="AH55" i="2"/>
  <c r="AQ55" i="2"/>
  <c r="AH54" i="2"/>
  <c r="AQ54" i="2"/>
  <c r="AH52" i="2"/>
  <c r="AQ52" i="2"/>
  <c r="AQ56" i="2"/>
  <c r="AH56" i="2"/>
  <c r="AH53" i="2"/>
  <c r="AQ53" i="2"/>
  <c r="AQ111" i="2"/>
  <c r="AH111" i="2"/>
  <c r="AQ4" i="2"/>
  <c r="AH4" i="2"/>
  <c r="AQ71" i="2"/>
  <c r="AH71" i="2"/>
  <c r="AH28" i="2"/>
  <c r="AQ28" i="2"/>
  <c r="AH93" i="2"/>
  <c r="AQ93" i="2"/>
  <c r="AH89" i="2"/>
  <c r="AQ89" i="2"/>
  <c r="AQ12" i="2"/>
  <c r="AH12" i="2"/>
  <c r="AQ23" i="2"/>
  <c r="AH23" i="2"/>
  <c r="AQ95" i="2"/>
  <c r="AH95" i="2"/>
  <c r="AQ8" i="2"/>
  <c r="AH8" i="2"/>
  <c r="AQ7" i="2"/>
  <c r="AH7" i="2"/>
  <c r="AH75" i="2"/>
  <c r="AQ75" i="2"/>
  <c r="AH74" i="2"/>
  <c r="AQ74" i="2"/>
  <c r="AH91" i="2"/>
  <c r="AQ91" i="2"/>
  <c r="AQ40" i="2"/>
  <c r="AH40" i="2"/>
  <c r="AQ39" i="2"/>
  <c r="AH39" i="2"/>
  <c r="AQ21" i="2"/>
  <c r="AH21" i="2"/>
  <c r="AQ5" i="2"/>
  <c r="AH5" i="2"/>
  <c r="AH25" i="2"/>
  <c r="AQ25" i="2"/>
  <c r="AH73" i="2"/>
  <c r="AQ73" i="2"/>
  <c r="AH57" i="2"/>
  <c r="AQ57" i="2"/>
  <c r="AH90" i="2"/>
  <c r="AQ90" i="2"/>
  <c r="AH102" i="2"/>
  <c r="AH86" i="2"/>
  <c r="AO15" i="2"/>
  <c r="AO90" i="2"/>
  <c r="AQ78" i="2"/>
  <c r="AQ109" i="2"/>
  <c r="AR81" i="2"/>
  <c r="AH85" i="2"/>
  <c r="AO89" i="2"/>
  <c r="AO73" i="2"/>
  <c r="AO57" i="2"/>
  <c r="AQ77" i="2"/>
  <c r="AQ108" i="2"/>
  <c r="AR57" i="2"/>
  <c r="AR41" i="2"/>
  <c r="AR80" i="2"/>
  <c r="AR25" i="2"/>
  <c r="AR56" i="2"/>
  <c r="AR40" i="2"/>
  <c r="AR79" i="2"/>
  <c r="AI101" i="2"/>
  <c r="AI84" i="2"/>
  <c r="AI68" i="2"/>
  <c r="AI2" i="2"/>
  <c r="AI16" i="2"/>
  <c r="AI83" i="2"/>
  <c r="AI67" i="2"/>
  <c r="AH11" i="2"/>
  <c r="AH22" i="2"/>
  <c r="AH59" i="2"/>
  <c r="AH100" i="2"/>
  <c r="AO13" i="2"/>
  <c r="AO88" i="2"/>
  <c r="AO72" i="2"/>
  <c r="AO56" i="2"/>
  <c r="AQ107" i="2"/>
  <c r="AI31" i="2"/>
  <c r="AI15" i="2"/>
  <c r="AI60" i="2"/>
  <c r="AI44" i="2"/>
  <c r="AI98" i="2"/>
  <c r="AI106" i="2"/>
  <c r="AH10" i="2"/>
  <c r="AH99" i="2"/>
  <c r="AH113" i="2"/>
  <c r="AO44" i="2"/>
  <c r="AO28" i="2"/>
  <c r="AO12" i="2"/>
  <c r="AO87" i="2"/>
  <c r="AO71" i="2"/>
  <c r="AO55" i="2"/>
  <c r="AO93" i="2"/>
  <c r="AQ51" i="2"/>
  <c r="AQ35" i="2"/>
  <c r="AR24" i="2"/>
  <c r="AR8" i="2"/>
  <c r="AR55" i="2"/>
  <c r="AR39" i="2"/>
  <c r="AI13" i="2"/>
  <c r="AI104" i="2"/>
  <c r="AH97" i="2"/>
  <c r="AH81" i="2"/>
  <c r="AQ27" i="2"/>
  <c r="AR92" i="2"/>
  <c r="AR76" i="2"/>
  <c r="AI41" i="2"/>
  <c r="AI79" i="2"/>
  <c r="AI119" i="2"/>
  <c r="AI103" i="2"/>
  <c r="AH96" i="2"/>
  <c r="AH80" i="2"/>
  <c r="AH110" i="2"/>
  <c r="AO25" i="2"/>
  <c r="AO84" i="2"/>
  <c r="AO68" i="2"/>
  <c r="AO52" i="2"/>
  <c r="AO106" i="2"/>
  <c r="AQ26" i="2"/>
  <c r="AQ48" i="2"/>
  <c r="AQ32" i="2"/>
  <c r="AR21" i="2"/>
  <c r="AR5" i="2"/>
  <c r="AR52" i="2"/>
  <c r="AR36" i="2"/>
  <c r="AR91" i="2"/>
  <c r="AR75" i="2"/>
  <c r="AO40" i="2"/>
  <c r="AO105" i="2"/>
  <c r="AR20" i="2"/>
  <c r="AR4" i="2"/>
  <c r="AR35" i="2"/>
  <c r="AR90" i="2"/>
  <c r="AQ47" i="2"/>
  <c r="AO39" i="2"/>
  <c r="AI38" i="2"/>
  <c r="AI92" i="2"/>
  <c r="AI76" i="2"/>
  <c r="AI116" i="2"/>
  <c r="AO65" i="2"/>
  <c r="AO119" i="2"/>
  <c r="AO103" i="2"/>
  <c r="AQ45" i="2"/>
  <c r="AQ29" i="2"/>
  <c r="AQ69" i="2"/>
  <c r="AR18" i="2"/>
  <c r="AR49" i="2"/>
  <c r="AR33" i="2"/>
  <c r="AR104" i="2"/>
  <c r="AR88" i="2"/>
  <c r="AR72" i="2"/>
  <c r="AH70" i="2"/>
  <c r="AO8" i="2"/>
  <c r="AQ118" i="2"/>
  <c r="AO23" i="2"/>
  <c r="AR3" i="2"/>
  <c r="AR89" i="2"/>
  <c r="AI24" i="2"/>
  <c r="AI37" i="2"/>
  <c r="AI115" i="2"/>
  <c r="AH19" i="2"/>
  <c r="AH3" i="2"/>
  <c r="AH30" i="2"/>
  <c r="AO21" i="2"/>
  <c r="AO5" i="2"/>
  <c r="AO64" i="2"/>
  <c r="AO118" i="2"/>
  <c r="AO102" i="2"/>
  <c r="AR2" i="2"/>
  <c r="AR17" i="2"/>
  <c r="AR87" i="2"/>
  <c r="AR71" i="2"/>
  <c r="AI117" i="2"/>
  <c r="AO7" i="2"/>
  <c r="AR19" i="2"/>
  <c r="AR73" i="2"/>
  <c r="AI36" i="2"/>
  <c r="AI114" i="2"/>
  <c r="AH18" i="2"/>
  <c r="AO20" i="2"/>
  <c r="AO4" i="2"/>
  <c r="AO63" i="2"/>
  <c r="AO117" i="2"/>
  <c r="AO101" i="2"/>
  <c r="AQ43" i="2"/>
  <c r="AH65" i="2"/>
  <c r="AO116" i="2"/>
  <c r="AO100" i="2"/>
  <c r="AQ42" i="2"/>
  <c r="AH64" i="2"/>
  <c r="AI49" i="2"/>
  <c r="AI33" i="2"/>
  <c r="AO60" i="2"/>
  <c r="AO114" i="2"/>
  <c r="AO98" i="2"/>
  <c r="C3" i="3"/>
  <c r="C2" i="3"/>
  <c r="H4" i="2" s="1"/>
  <c r="H99" i="2"/>
  <c r="H91" i="2"/>
  <c r="H83" i="2"/>
  <c r="H75" i="2"/>
  <c r="H68" i="2"/>
  <c r="H61" i="2"/>
  <c r="H53" i="2"/>
  <c r="H44" i="2"/>
  <c r="H36" i="2"/>
  <c r="H29" i="2"/>
  <c r="H20" i="2"/>
  <c r="H13" i="2"/>
  <c r="H114" i="2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72" i="2"/>
  <c r="H40" i="2"/>
  <c r="H25" i="2"/>
  <c r="H113" i="2"/>
  <c r="H105" i="2"/>
  <c r="H97" i="2"/>
  <c r="H89" i="2"/>
  <c r="H81" i="2"/>
  <c r="H47" i="2"/>
  <c r="H66" i="2"/>
  <c r="H59" i="2"/>
  <c r="H51" i="2"/>
  <c r="H42" i="2"/>
  <c r="H34" i="2"/>
  <c r="H27" i="2"/>
  <c r="H18" i="2"/>
  <c r="H11" i="2"/>
  <c r="H2" i="2"/>
  <c r="H112" i="2"/>
  <c r="H96" i="2"/>
  <c r="H88" i="2"/>
  <c r="H73" i="2"/>
  <c r="H58" i="2"/>
  <c r="H41" i="2"/>
  <c r="H33" i="2"/>
  <c r="H17" i="2"/>
  <c r="H79" i="2"/>
  <c r="H49" i="2"/>
  <c r="H8" i="2"/>
  <c r="J41" i="2"/>
  <c r="H104" i="2"/>
  <c r="H80" i="2"/>
  <c r="H65" i="2"/>
  <c r="H50" i="2"/>
  <c r="H26" i="2"/>
  <c r="H9" i="2"/>
  <c r="H111" i="2"/>
  <c r="H57" i="2"/>
  <c r="H16" i="2"/>
  <c r="J111" i="2"/>
  <c r="H103" i="2"/>
  <c r="H95" i="2"/>
  <c r="H87" i="2"/>
  <c r="H64" i="2"/>
  <c r="H32" i="2"/>
  <c r="J103" i="2"/>
  <c r="H118" i="2"/>
  <c r="H110" i="2"/>
  <c r="H102" i="2"/>
  <c r="H94" i="2"/>
  <c r="H86" i="2"/>
  <c r="H78" i="2"/>
  <c r="H71" i="2"/>
  <c r="H119" i="2"/>
  <c r="H56" i="2"/>
  <c r="H48" i="2"/>
  <c r="H39" i="2"/>
  <c r="H24" i="2"/>
  <c r="H23" i="2"/>
  <c r="H10" i="2"/>
  <c r="H7" i="2"/>
  <c r="H6" i="2"/>
  <c r="J6" i="2"/>
  <c r="H117" i="2"/>
  <c r="H109" i="2"/>
  <c r="H101" i="2"/>
  <c r="H93" i="2"/>
  <c r="H85" i="2"/>
  <c r="H77" i="2"/>
  <c r="H70" i="2"/>
  <c r="H63" i="2"/>
  <c r="H55" i="2"/>
  <c r="H46" i="2"/>
  <c r="H38" i="2"/>
  <c r="H31" i="2"/>
  <c r="H22" i="2"/>
  <c r="H15" i="2"/>
  <c r="J2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H5" i="2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K2" i="2"/>
  <c r="K10" i="2"/>
  <c r="K20" i="2"/>
  <c r="K26" i="2"/>
  <c r="K34" i="2"/>
  <c r="K42" i="2"/>
  <c r="K50" i="2"/>
  <c r="K58" i="2"/>
  <c r="K66" i="2"/>
  <c r="K74" i="2"/>
  <c r="K82" i="2"/>
  <c r="K90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3" i="2"/>
  <c r="K11" i="2"/>
  <c r="K21" i="2"/>
  <c r="K27" i="2"/>
  <c r="K35" i="2"/>
  <c r="K43" i="2"/>
  <c r="K51" i="2"/>
  <c r="K59" i="2"/>
  <c r="K67" i="2"/>
  <c r="K75" i="2"/>
  <c r="K83" i="2"/>
  <c r="K91" i="2"/>
  <c r="J115" i="2"/>
  <c r="J107" i="2"/>
  <c r="J99" i="2"/>
  <c r="J91" i="2"/>
  <c r="J83" i="2"/>
  <c r="J75" i="2"/>
  <c r="J67" i="2"/>
  <c r="J51" i="2"/>
  <c r="J43" i="2"/>
  <c r="J33" i="2"/>
  <c r="J25" i="2"/>
  <c r="J17" i="2"/>
  <c r="J9" i="2"/>
  <c r="K4" i="2"/>
  <c r="K12" i="2"/>
  <c r="K18" i="2"/>
  <c r="K28" i="2"/>
  <c r="K36" i="2"/>
  <c r="K45" i="2"/>
  <c r="K52" i="2"/>
  <c r="K60" i="2"/>
  <c r="K68" i="2"/>
  <c r="K76" i="2"/>
  <c r="K84" i="2"/>
  <c r="K92" i="2"/>
  <c r="J114" i="2"/>
  <c r="J98" i="2"/>
  <c r="J90" i="2"/>
  <c r="J82" i="2"/>
  <c r="J74" i="2"/>
  <c r="J66" i="2"/>
  <c r="J50" i="2"/>
  <c r="J42" i="2"/>
  <c r="J32" i="2"/>
  <c r="J24" i="2"/>
  <c r="J16" i="2"/>
  <c r="J8" i="2"/>
  <c r="K5" i="2"/>
  <c r="K13" i="2"/>
  <c r="K19" i="2"/>
  <c r="K29" i="2"/>
  <c r="K37" i="2"/>
  <c r="K46" i="2"/>
  <c r="K53" i="2"/>
  <c r="K61" i="2"/>
  <c r="K69" i="2"/>
  <c r="K77" i="2"/>
  <c r="K85" i="2"/>
  <c r="K93" i="2"/>
  <c r="J113" i="2"/>
  <c r="J97" i="2"/>
  <c r="J89" i="2"/>
  <c r="J81" i="2"/>
  <c r="J65" i="2"/>
  <c r="J49" i="2"/>
  <c r="J31" i="2"/>
  <c r="J23" i="2"/>
  <c r="J15" i="2"/>
  <c r="J7" i="2"/>
  <c r="J39" i="2"/>
  <c r="K6" i="2"/>
  <c r="K14" i="2"/>
  <c r="K22" i="2"/>
  <c r="K30" i="2"/>
  <c r="K38" i="2"/>
  <c r="K44" i="2"/>
  <c r="K54" i="2"/>
  <c r="K62" i="2"/>
  <c r="K70" i="2"/>
  <c r="K78" i="2"/>
  <c r="K86" i="2"/>
  <c r="K94" i="2"/>
  <c r="J106" i="2"/>
  <c r="J105" i="2"/>
  <c r="J73" i="2"/>
  <c r="J55" i="2"/>
  <c r="J112" i="2"/>
  <c r="J104" i="2"/>
  <c r="J96" i="2"/>
  <c r="J88" i="2"/>
  <c r="J80" i="2"/>
  <c r="J72" i="2"/>
  <c r="J64" i="2"/>
  <c r="J48" i="2"/>
  <c r="J38" i="2"/>
  <c r="J30" i="2"/>
  <c r="J22" i="2"/>
  <c r="J14" i="2"/>
  <c r="J40" i="2"/>
  <c r="K7" i="2"/>
  <c r="K15" i="2"/>
  <c r="K23" i="2"/>
  <c r="K31" i="2"/>
  <c r="K39" i="2"/>
  <c r="K47" i="2"/>
  <c r="K55" i="2"/>
  <c r="K63" i="2"/>
  <c r="K71" i="2"/>
  <c r="K79" i="2"/>
  <c r="K87" i="2"/>
  <c r="K95" i="2"/>
  <c r="J119" i="2"/>
  <c r="J95" i="2"/>
  <c r="J87" i="2"/>
  <c r="J79" i="2"/>
  <c r="J71" i="2"/>
  <c r="J63" i="2"/>
  <c r="J47" i="2"/>
  <c r="J37" i="2"/>
  <c r="J29" i="2"/>
  <c r="J21" i="2"/>
  <c r="J13" i="2"/>
  <c r="J5" i="2"/>
  <c r="K8" i="2"/>
  <c r="K16" i="2"/>
  <c r="K24" i="2"/>
  <c r="K32" i="2"/>
  <c r="K40" i="2"/>
  <c r="K48" i="2"/>
  <c r="K56" i="2"/>
  <c r="K64" i="2"/>
  <c r="K72" i="2"/>
  <c r="K80" i="2"/>
  <c r="K88" i="2"/>
  <c r="K96" i="2"/>
  <c r="D2" i="6"/>
  <c r="C2" i="6" s="1"/>
  <c r="J118" i="2"/>
  <c r="J110" i="2"/>
  <c r="J102" i="2"/>
  <c r="J94" i="2"/>
  <c r="J86" i="2"/>
  <c r="J78" i="2"/>
  <c r="J70" i="2"/>
  <c r="J62" i="2"/>
  <c r="J54" i="2"/>
  <c r="J46" i="2"/>
  <c r="J36" i="2"/>
  <c r="J28" i="2"/>
  <c r="J20" i="2"/>
  <c r="J12" i="2"/>
  <c r="J4" i="2"/>
  <c r="K9" i="2"/>
  <c r="K17" i="2"/>
  <c r="K25" i="2"/>
  <c r="K33" i="2"/>
  <c r="K41" i="2"/>
  <c r="K49" i="2"/>
  <c r="K57" i="2"/>
  <c r="K65" i="2"/>
  <c r="K73" i="2"/>
  <c r="K81" i="2"/>
  <c r="K89" i="2"/>
  <c r="J57" i="2"/>
  <c r="J59" i="2"/>
  <c r="J56" i="2"/>
  <c r="J58" i="2"/>
  <c r="J3" i="2"/>
  <c r="AH76" i="2" l="1"/>
  <c r="AQ76" i="2"/>
  <c r="AQ116" i="2"/>
  <c r="AH116" i="2"/>
  <c r="AH92" i="2"/>
  <c r="AQ92" i="2"/>
  <c r="AH38" i="2"/>
  <c r="AQ38" i="2"/>
  <c r="AH104" i="2"/>
  <c r="AQ104" i="2"/>
  <c r="AQ13" i="2"/>
  <c r="AH13" i="2"/>
  <c r="AQ67" i="2"/>
  <c r="AH67" i="2"/>
  <c r="AH106" i="2"/>
  <c r="AQ106" i="2"/>
  <c r="AQ114" i="2"/>
  <c r="AH114" i="2"/>
  <c r="AQ98" i="2"/>
  <c r="AH98" i="2"/>
  <c r="AH16" i="2"/>
  <c r="AQ16" i="2"/>
  <c r="AQ83" i="2"/>
  <c r="AH83" i="2"/>
  <c r="AH36" i="2"/>
  <c r="AQ36" i="2"/>
  <c r="AH44" i="2"/>
  <c r="AQ44" i="2"/>
  <c r="AQ2" i="2"/>
  <c r="AH2" i="2"/>
  <c r="AH33" i="2"/>
  <c r="AQ33" i="2"/>
  <c r="AQ115" i="2"/>
  <c r="AH115" i="2"/>
  <c r="AQ60" i="2"/>
  <c r="AH60" i="2"/>
  <c r="AQ68" i="2"/>
  <c r="AH68" i="2"/>
  <c r="AQ41" i="2"/>
  <c r="AH41" i="2"/>
  <c r="AH49" i="2"/>
  <c r="AQ49" i="2"/>
  <c r="AH37" i="2"/>
  <c r="AQ37" i="2"/>
  <c r="AH15" i="2"/>
  <c r="AQ15" i="2"/>
  <c r="AQ84" i="2"/>
  <c r="AH84" i="2"/>
  <c r="AQ24" i="2"/>
  <c r="AH24" i="2"/>
  <c r="AH103" i="2"/>
  <c r="AQ103" i="2"/>
  <c r="AH31" i="2"/>
  <c r="AQ31" i="2"/>
  <c r="AQ101" i="2"/>
  <c r="AH101" i="2"/>
  <c r="AQ117" i="2"/>
  <c r="AH117" i="2"/>
  <c r="AH119" i="2"/>
  <c r="AQ119" i="2"/>
  <c r="AQ79" i="2"/>
  <c r="AH79" i="2"/>
  <c r="H107" i="2"/>
  <c r="H115" i="2"/>
</calcChain>
</file>

<file path=xl/sharedStrings.xml><?xml version="1.0" encoding="utf-8"?>
<sst xmlns="http://schemas.openxmlformats.org/spreadsheetml/2006/main" count="986" uniqueCount="506">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</sst>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2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0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0" fontId="1" fillId="13" borderId="3" xfId="1"/>
    <xf numFmtId="13" fontId="0" fillId="0" borderId="0" xfId="0" applyNumberFormat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1"/>
  <sheetViews>
    <sheetView tabSelected="1" topLeftCell="A85" zoomScale="70" zoomScaleNormal="70" workbookViewId="0">
      <selection activeCell="E119" sqref="E119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18" customWidth="1"/>
    <col min="6" max="6" width="16.109375" customWidth="1"/>
    <col min="7" max="7" width="14.44140625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15" customWidth="1"/>
    <col min="13" max="13" width="8.77734375" style="19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 t="s">
        <v>256</v>
      </c>
      <c r="B1" t="s">
        <v>341</v>
      </c>
      <c r="C1" t="s">
        <v>342</v>
      </c>
      <c r="D1" t="s">
        <v>281</v>
      </c>
      <c r="E1" s="18" t="s">
        <v>255</v>
      </c>
      <c r="F1" t="s">
        <v>63</v>
      </c>
      <c r="G1" t="s">
        <v>399</v>
      </c>
      <c r="H1" t="s">
        <v>343</v>
      </c>
      <c r="I1" s="16" t="s">
        <v>501</v>
      </c>
      <c r="J1" t="s">
        <v>473</v>
      </c>
      <c r="K1" t="s">
        <v>472</v>
      </c>
      <c r="L1" s="15" t="s">
        <v>474</v>
      </c>
      <c r="M1" s="19" t="s">
        <v>478</v>
      </c>
      <c r="N1" t="s">
        <v>479</v>
      </c>
      <c r="O1" t="s">
        <v>475</v>
      </c>
      <c r="P1" t="s">
        <v>476</v>
      </c>
      <c r="Q1" t="s">
        <v>477</v>
      </c>
      <c r="R1" t="s">
        <v>484</v>
      </c>
      <c r="S1" t="s">
        <v>480</v>
      </c>
      <c r="T1" t="s">
        <v>489</v>
      </c>
      <c r="U1" t="s">
        <v>485</v>
      </c>
      <c r="V1" t="s">
        <v>492</v>
      </c>
      <c r="W1" t="s">
        <v>481</v>
      </c>
      <c r="X1" t="s">
        <v>490</v>
      </c>
      <c r="Y1" t="s">
        <v>486</v>
      </c>
      <c r="Z1" t="s">
        <v>493</v>
      </c>
      <c r="AA1" t="s">
        <v>482</v>
      </c>
      <c r="AB1" t="s">
        <v>491</v>
      </c>
      <c r="AC1" t="s">
        <v>487</v>
      </c>
      <c r="AD1" t="s">
        <v>483</v>
      </c>
      <c r="AE1" t="s">
        <v>497</v>
      </c>
      <c r="AF1" t="s">
        <v>498</v>
      </c>
      <c r="AG1" t="s">
        <v>229</v>
      </c>
      <c r="AH1" t="s">
        <v>500</v>
      </c>
      <c r="AI1" t="s">
        <v>502</v>
      </c>
      <c r="AN1" t="s">
        <v>499</v>
      </c>
      <c r="AO1" t="s">
        <v>503</v>
      </c>
      <c r="AP1" t="s">
        <v>496</v>
      </c>
      <c r="AQ1" t="s">
        <v>504</v>
      </c>
      <c r="AR1" t="s">
        <v>505</v>
      </c>
    </row>
    <row r="2" spans="1:44" x14ac:dyDescent="0.3">
      <c r="A2">
        <v>1</v>
      </c>
      <c r="B2" t="s">
        <v>113</v>
      </c>
      <c r="C2" t="s">
        <v>1</v>
      </c>
      <c r="D2" t="s">
        <v>235</v>
      </c>
      <c r="E2" s="18">
        <v>1</v>
      </c>
      <c r="F2">
        <v>0</v>
      </c>
      <c r="G2">
        <v>1.008</v>
      </c>
      <c r="H2">
        <f>(G2-(A2*'Atomic Particles'!C1))/'Atomic Particles'!C2+A2</f>
        <v>1.0007165767814636</v>
      </c>
      <c r="I2" s="16">
        <f>0.529 * (M2^2 / (A2 - AG2))</f>
        <v>0.52900000000000003</v>
      </c>
      <c r="J2">
        <f>(('Atomic Particles'!C1)*A2)+(('Atomic Particles'!C2)*Elements!F2)</f>
        <v>1.0072772134220349</v>
      </c>
      <c r="K2" s="17">
        <f>(E2^(1/3))*Constants!B2</f>
        <v>1.25E-15</v>
      </c>
      <c r="L2" s="15">
        <v>1</v>
      </c>
      <c r="M2" s="19">
        <v>1</v>
      </c>
      <c r="AH2" s="16">
        <f>(G2 * 1.6605E-24) / (AI2 * 1E-24)</f>
        <v>2.6992542051893076</v>
      </c>
      <c r="AI2" s="16">
        <f>(4/3) * PI() * (I2^3)</f>
        <v>0.62009128180004536</v>
      </c>
      <c r="AN2">
        <f>A2-AG2</f>
        <v>1</v>
      </c>
      <c r="AO2" s="16">
        <f>4 * PI() * 0.000000000008854 * (I2 * 0.0000000001)^3</f>
        <v>1.6470864627172809E-41</v>
      </c>
      <c r="AQ2" s="16">
        <f>(1 / (2 * PI())) * SQRT((A2 * (1.602E-19^2)) / ((AI2 * 1E-30) * 9.109E-31 * 0.000000000008854))</f>
        <v>1.1401177861196694E+16</v>
      </c>
      <c r="AR2" s="16">
        <f>I2 * 350</f>
        <v>185.15</v>
      </c>
    </row>
    <row r="3" spans="1:44" x14ac:dyDescent="0.3">
      <c r="A3">
        <v>2</v>
      </c>
      <c r="B3" t="s">
        <v>114</v>
      </c>
      <c r="C3" t="s">
        <v>82</v>
      </c>
      <c r="D3" t="s">
        <v>236</v>
      </c>
      <c r="E3" s="18">
        <v>4</v>
      </c>
      <c r="F3">
        <f>E3-A3</f>
        <v>2</v>
      </c>
      <c r="G3">
        <v>4.0026000000000002</v>
      </c>
      <c r="H3">
        <f>(G3-(A3*'Atomic Particles'!C1))/'Atomic Particles'!C2+A3</f>
        <v>3.9709653466806065</v>
      </c>
      <c r="I3" s="16">
        <f t="shared" ref="I3:I66" si="0">0.529 * (M3^2 / (A3 - AG3))</f>
        <v>1.0580000000000001</v>
      </c>
      <c r="J3">
        <f>(('Atomic Particles'!C1)*A3)+(('Atomic Particles'!C2)*Elements!F3)</f>
        <v>4.0318862652795753</v>
      </c>
      <c r="K3" s="17">
        <f>(E3^(1/3))*Constants!B2</f>
        <v>1.9842513149602493E-15</v>
      </c>
      <c r="L3" s="15">
        <v>2</v>
      </c>
      <c r="M3" s="19">
        <v>2</v>
      </c>
      <c r="AG3">
        <v>0</v>
      </c>
      <c r="AH3" s="16">
        <f t="shared" ref="AH3:AH66" si="1">(G3 * 1.6605E-24) / (AI3 * 1E-24)</f>
        <v>1.3397860716382346</v>
      </c>
      <c r="AI3" s="16">
        <f t="shared" ref="AI3:AI66" si="2">(4/3) * PI() * (I3^3)</f>
        <v>4.9607302544003629</v>
      </c>
      <c r="AN3">
        <f t="shared" ref="AN3:AN66" si="3">A3-AG3</f>
        <v>2</v>
      </c>
      <c r="AO3" s="16">
        <f t="shared" ref="AO3:AO66" si="4">4 * PI() * 0.000000000008854 * (I3 * 0.0000000001)^3</f>
        <v>1.3176691701738247E-40</v>
      </c>
      <c r="AQ3" s="16">
        <f t="shared" ref="AQ3:AQ66" si="5">(1 / (2 * PI())) * SQRT((A3 * (1.602E-19^2)) / ((AI3 * 1E-30) * 9.109E-31 * 0.000000000008854))</f>
        <v>5700588930598347</v>
      </c>
      <c r="AR3" s="16">
        <f t="shared" ref="AR3:AR67" si="6">I3 * 350</f>
        <v>370.3</v>
      </c>
    </row>
    <row r="4" spans="1:44" x14ac:dyDescent="0.3">
      <c r="A4">
        <v>3</v>
      </c>
      <c r="B4" t="s">
        <v>115</v>
      </c>
      <c r="C4" t="s">
        <v>2</v>
      </c>
      <c r="D4" t="s">
        <v>237</v>
      </c>
      <c r="E4" s="18">
        <v>7</v>
      </c>
      <c r="F4">
        <f t="shared" ref="F4:F65" si="7">E4-A4</f>
        <v>4</v>
      </c>
      <c r="G4">
        <v>6.94</v>
      </c>
      <c r="H4">
        <f>(G4-(A4*'Atomic Particles'!C1))/'Atomic Particles'!C2+A4</f>
        <v>6.8845055484501145</v>
      </c>
      <c r="I4" s="16">
        <f t="shared" si="0"/>
        <v>2.1160000000000001</v>
      </c>
      <c r="J4">
        <f>(('Atomic Particles'!C1)*A4)+(('Atomic Particles'!C2)*Elements!F4)</f>
        <v>7.0564953171371156</v>
      </c>
      <c r="K4" s="17">
        <f>(E4^(1/3))*Constants!B2</f>
        <v>2.3911639784654861E-15</v>
      </c>
      <c r="L4" s="15">
        <v>3</v>
      </c>
      <c r="M4" s="19">
        <v>2</v>
      </c>
      <c r="N4">
        <v>1</v>
      </c>
      <c r="AG4">
        <v>2</v>
      </c>
      <c r="AH4" s="16">
        <f t="shared" si="1"/>
        <v>0.29037735900319001</v>
      </c>
      <c r="AI4" s="16">
        <f t="shared" si="2"/>
        <v>39.685842035202903</v>
      </c>
      <c r="AN4">
        <f t="shared" si="3"/>
        <v>1</v>
      </c>
      <c r="AO4" s="16">
        <f t="shared" si="4"/>
        <v>1.0541353361390598E-39</v>
      </c>
      <c r="AQ4" s="16">
        <f t="shared" si="5"/>
        <v>2468427415215267</v>
      </c>
      <c r="AR4" s="16">
        <f t="shared" si="6"/>
        <v>740.6</v>
      </c>
    </row>
    <row r="5" spans="1:44" x14ac:dyDescent="0.3">
      <c r="A5">
        <v>4</v>
      </c>
      <c r="B5" t="s">
        <v>116</v>
      </c>
      <c r="C5" t="s">
        <v>8</v>
      </c>
      <c r="D5" t="s">
        <v>238</v>
      </c>
      <c r="E5" s="18">
        <v>9</v>
      </c>
      <c r="F5">
        <f t="shared" si="7"/>
        <v>5</v>
      </c>
      <c r="G5">
        <v>9.0123300000000004</v>
      </c>
      <c r="H5">
        <f>(G5-(A5*'Atomic Particles'!C1))/'Atomic Particles'!C2+A5</f>
        <v>8.9404079699416048</v>
      </c>
      <c r="I5" s="16">
        <f t="shared" si="0"/>
        <v>1.0580000000000001</v>
      </c>
      <c r="J5">
        <f>(('Atomic Particles'!C1)*A5)+(('Atomic Particles'!C2)*Elements!F5)</f>
        <v>9.0724384497769037</v>
      </c>
      <c r="K5" s="17">
        <f>(E5^(1/3))*Constants!B2</f>
        <v>2.6001047788148802E-15</v>
      </c>
      <c r="L5" s="15">
        <v>4</v>
      </c>
      <c r="M5" s="19">
        <v>2</v>
      </c>
      <c r="N5">
        <v>2</v>
      </c>
      <c r="AG5">
        <v>2</v>
      </c>
      <c r="AH5" s="16">
        <f t="shared" si="1"/>
        <v>3.0166877047437688</v>
      </c>
      <c r="AI5" s="16">
        <f t="shared" si="2"/>
        <v>4.9607302544003629</v>
      </c>
      <c r="AN5">
        <f t="shared" si="3"/>
        <v>2</v>
      </c>
      <c r="AO5" s="16">
        <f t="shared" si="4"/>
        <v>1.3176691701738247E-40</v>
      </c>
      <c r="AQ5" s="16">
        <f t="shared" si="5"/>
        <v>8061850179166120</v>
      </c>
      <c r="AR5" s="16">
        <f t="shared" si="6"/>
        <v>370.3</v>
      </c>
    </row>
    <row r="6" spans="1:44" x14ac:dyDescent="0.3">
      <c r="A6">
        <v>5</v>
      </c>
      <c r="B6" t="s">
        <v>117</v>
      </c>
      <c r="C6" t="s">
        <v>52</v>
      </c>
      <c r="D6" t="s">
        <v>239</v>
      </c>
      <c r="E6" s="18">
        <v>10</v>
      </c>
      <c r="F6">
        <f t="shared" si="7"/>
        <v>5</v>
      </c>
      <c r="G6">
        <v>10.81</v>
      </c>
      <c r="H6">
        <f>(G6-(A6*'Atomic Particles'!C1))/'Atomic Particles'!C2+A6</f>
        <v>10.724010123557477</v>
      </c>
      <c r="I6" s="16">
        <f t="shared" si="0"/>
        <v>0.70533333333333337</v>
      </c>
      <c r="J6">
        <f>(('Atomic Particles'!C1)*A6)+(('Atomic Particles'!C2)*Elements!F6)</f>
        <v>10.07971566319894</v>
      </c>
      <c r="K6" s="17">
        <f>(E6^(1/3))*Constants!B2</f>
        <v>2.6930433625398547E-15</v>
      </c>
      <c r="L6" s="15">
        <v>5</v>
      </c>
      <c r="M6" s="19">
        <v>2</v>
      </c>
      <c r="N6">
        <v>2</v>
      </c>
      <c r="O6">
        <v>1</v>
      </c>
      <c r="AG6">
        <v>2</v>
      </c>
      <c r="AH6" s="16">
        <f t="shared" si="1"/>
        <v>12.212167114158651</v>
      </c>
      <c r="AI6" s="16">
        <f t="shared" si="2"/>
        <v>1.4698460013038117</v>
      </c>
      <c r="AN6">
        <f t="shared" si="3"/>
        <v>3</v>
      </c>
      <c r="AO6" s="16">
        <f t="shared" si="4"/>
        <v>3.9042049486631853E-41</v>
      </c>
      <c r="AQ6" s="16">
        <f t="shared" si="5"/>
        <v>1.6558714493836306E+16</v>
      </c>
      <c r="AR6" s="16">
        <f t="shared" si="6"/>
        <v>246.86666666666667</v>
      </c>
    </row>
    <row r="7" spans="1:44" x14ac:dyDescent="0.3">
      <c r="A7">
        <v>6</v>
      </c>
      <c r="B7" t="s">
        <v>118</v>
      </c>
      <c r="C7" t="s">
        <v>62</v>
      </c>
      <c r="D7" t="s">
        <v>235</v>
      </c>
      <c r="E7" s="18">
        <v>12</v>
      </c>
      <c r="F7">
        <f t="shared" si="7"/>
        <v>6</v>
      </c>
      <c r="G7">
        <v>12.010999999999999</v>
      </c>
      <c r="H7">
        <f>(G7-(A7*'Atomic Particles'!C1))/'Atomic Particles'!C2+A7</f>
        <v>11.91606854734977</v>
      </c>
      <c r="I7" s="16">
        <f t="shared" si="0"/>
        <v>0.52900000000000003</v>
      </c>
      <c r="J7">
        <f>(('Atomic Particles'!C1)*A7)+(('Atomic Particles'!C2)*Elements!F7)</f>
        <v>12.095658795838727</v>
      </c>
      <c r="K7" s="17">
        <f>(E7^(1/3))*Constants!B2</f>
        <v>2.8617856063833298E-15</v>
      </c>
      <c r="L7" s="15">
        <v>6</v>
      </c>
      <c r="M7" s="19">
        <v>2</v>
      </c>
      <c r="N7">
        <v>2</v>
      </c>
      <c r="O7">
        <v>2</v>
      </c>
      <c r="AG7">
        <v>2</v>
      </c>
      <c r="AH7" s="16">
        <f t="shared" si="1"/>
        <v>32.16343478028648</v>
      </c>
      <c r="AI7" s="16">
        <f t="shared" si="2"/>
        <v>0.62009128180004536</v>
      </c>
      <c r="AN7">
        <f t="shared" si="3"/>
        <v>4</v>
      </c>
      <c r="AO7" s="16">
        <f t="shared" si="4"/>
        <v>1.6470864627172809E-41</v>
      </c>
      <c r="AQ7" s="16">
        <f t="shared" si="5"/>
        <v>2.7927068226647956E+16</v>
      </c>
      <c r="AR7" s="16">
        <f t="shared" si="6"/>
        <v>185.15</v>
      </c>
    </row>
    <row r="8" spans="1:44" x14ac:dyDescent="0.3">
      <c r="A8">
        <v>7</v>
      </c>
      <c r="B8" t="s">
        <v>119</v>
      </c>
      <c r="C8" t="s">
        <v>63</v>
      </c>
      <c r="D8" t="s">
        <v>235</v>
      </c>
      <c r="E8" s="18">
        <v>14</v>
      </c>
      <c r="F8">
        <f t="shared" si="7"/>
        <v>7</v>
      </c>
      <c r="G8">
        <v>14.007</v>
      </c>
      <c r="H8">
        <f>(G8-(A8*'Atomic Particles'!C1))/'Atomic Particles'!C2+A8</f>
        <v>13.896296755461279</v>
      </c>
      <c r="I8" s="16">
        <f t="shared" si="0"/>
        <v>0.42320000000000002</v>
      </c>
      <c r="J8">
        <f>(('Atomic Particles'!C1)*A8)+(('Atomic Particles'!C2)*Elements!F8)</f>
        <v>14.111601928478514</v>
      </c>
      <c r="K8" s="17">
        <f>(E8^(1/3))*Constants!B2</f>
        <v>3.012677830219037E-15</v>
      </c>
      <c r="L8" s="15">
        <v>7</v>
      </c>
      <c r="M8" s="19">
        <v>2</v>
      </c>
      <c r="N8">
        <v>2</v>
      </c>
      <c r="O8">
        <v>3</v>
      </c>
      <c r="AG8">
        <v>2</v>
      </c>
      <c r="AH8" s="16">
        <f t="shared" si="1"/>
        <v>73.258567499237785</v>
      </c>
      <c r="AI8" s="16">
        <f t="shared" si="2"/>
        <v>0.31748673628162327</v>
      </c>
      <c r="AN8">
        <f t="shared" si="3"/>
        <v>5</v>
      </c>
      <c r="AO8" s="16">
        <f t="shared" si="4"/>
        <v>8.433082689112478E-42</v>
      </c>
      <c r="AQ8" s="16">
        <f t="shared" si="5"/>
        <v>4.215642365509292E+16</v>
      </c>
      <c r="AR8" s="16">
        <f t="shared" si="6"/>
        <v>148.12</v>
      </c>
    </row>
    <row r="9" spans="1:44" x14ac:dyDescent="0.3">
      <c r="A9">
        <v>8</v>
      </c>
      <c r="B9" t="s">
        <v>120</v>
      </c>
      <c r="C9" t="s">
        <v>70</v>
      </c>
      <c r="D9" t="s">
        <v>235</v>
      </c>
      <c r="E9" s="18">
        <v>16</v>
      </c>
      <c r="F9">
        <f t="shared" si="7"/>
        <v>8</v>
      </c>
      <c r="G9">
        <v>15.999000000000001</v>
      </c>
      <c r="H9">
        <f>(G9-(A9*'Atomic Particles'!C1))/'Atomic Particles'!C2+A9</f>
        <v>15.872559329437848</v>
      </c>
      <c r="I9" s="16">
        <f t="shared" si="0"/>
        <v>0.35266666666666668</v>
      </c>
      <c r="J9">
        <f>(('Atomic Particles'!C1)*A9)+(('Atomic Particles'!C2)*Elements!F9)</f>
        <v>16.127545061118301</v>
      </c>
      <c r="K9" s="17">
        <f>(E9^(1/3))*Constants!B2</f>
        <v>3.1498026247371823E-15</v>
      </c>
      <c r="L9" s="15">
        <v>8</v>
      </c>
      <c r="M9" s="19">
        <v>2</v>
      </c>
      <c r="N9">
        <v>2</v>
      </c>
      <c r="O9">
        <v>4</v>
      </c>
      <c r="AG9">
        <v>2</v>
      </c>
      <c r="AH9" s="16">
        <f t="shared" si="1"/>
        <v>144.59386616793654</v>
      </c>
      <c r="AI9" s="16">
        <f t="shared" si="2"/>
        <v>0.18373075016297646</v>
      </c>
      <c r="AN9">
        <f t="shared" si="3"/>
        <v>6</v>
      </c>
      <c r="AO9" s="16">
        <f t="shared" si="4"/>
        <v>4.8802561858289816E-42</v>
      </c>
      <c r="AQ9" s="16">
        <f t="shared" si="5"/>
        <v>5.92422579651664E+16</v>
      </c>
      <c r="AR9" s="16">
        <f t="shared" si="6"/>
        <v>123.43333333333334</v>
      </c>
    </row>
    <row r="10" spans="1:44" x14ac:dyDescent="0.3">
      <c r="A10">
        <v>9</v>
      </c>
      <c r="B10" t="s">
        <v>121</v>
      </c>
      <c r="C10" t="s">
        <v>228</v>
      </c>
      <c r="D10" t="s">
        <v>240</v>
      </c>
      <c r="E10" s="18">
        <v>19</v>
      </c>
      <c r="F10">
        <f t="shared" si="7"/>
        <v>10</v>
      </c>
      <c r="G10">
        <v>18.998000000000001</v>
      </c>
      <c r="H10">
        <f>(G10-(A10*'Atomic Particles'!C1))/'Atomic Particles'!C2+A10</f>
        <v>18.847170296885423</v>
      </c>
      <c r="I10" s="16">
        <f t="shared" si="0"/>
        <v>0.30228571428571427</v>
      </c>
      <c r="J10">
        <f>(('Atomic Particles'!C1)*A10)+(('Atomic Particles'!C2)*Elements!F10)</f>
        <v>19.152154112975843</v>
      </c>
      <c r="K10" s="17">
        <f>(E10^(1/3))*Constants!B2</f>
        <v>3.3355020609024303E-15</v>
      </c>
      <c r="L10" s="15">
        <v>9</v>
      </c>
      <c r="M10" s="19">
        <v>2</v>
      </c>
      <c r="N10">
        <v>2</v>
      </c>
      <c r="O10">
        <v>5</v>
      </c>
      <c r="AG10">
        <v>2</v>
      </c>
      <c r="AH10" s="16">
        <f t="shared" si="1"/>
        <v>272.64986307716327</v>
      </c>
      <c r="AI10" s="16">
        <f t="shared" si="2"/>
        <v>0.1157021633679385</v>
      </c>
      <c r="AN10">
        <f t="shared" si="3"/>
        <v>7</v>
      </c>
      <c r="AO10" s="16">
        <f t="shared" si="4"/>
        <v>3.0732808633791827E-42</v>
      </c>
      <c r="AQ10" s="16">
        <f t="shared" si="5"/>
        <v>7.9182288344097056E+16</v>
      </c>
      <c r="AR10" s="16">
        <f t="shared" si="6"/>
        <v>105.8</v>
      </c>
    </row>
    <row r="11" spans="1:44" x14ac:dyDescent="0.3">
      <c r="A11">
        <v>10</v>
      </c>
      <c r="B11" t="s">
        <v>122</v>
      </c>
      <c r="C11" t="s">
        <v>81</v>
      </c>
      <c r="D11" t="s">
        <v>236</v>
      </c>
      <c r="E11" s="18">
        <v>20</v>
      </c>
      <c r="F11">
        <f t="shared" si="7"/>
        <v>10</v>
      </c>
      <c r="G11">
        <v>20.18</v>
      </c>
      <c r="H11">
        <f>(G11-(A11*'Atomic Particles'!C1))/'Atomic Particles'!C2+A11</f>
        <v>20.020391958536752</v>
      </c>
      <c r="I11" s="16">
        <f t="shared" si="0"/>
        <v>0.26450000000000001</v>
      </c>
      <c r="J11">
        <f>(('Atomic Particles'!C1)*A11)+(('Atomic Particles'!C2)*Elements!F11)</f>
        <v>20.159431326397879</v>
      </c>
      <c r="K11" s="17">
        <f>(E11^(1/3))*Constants!B2</f>
        <v>3.3930220207436328E-15</v>
      </c>
      <c r="L11" s="15">
        <v>10</v>
      </c>
      <c r="M11" s="19">
        <v>2</v>
      </c>
      <c r="N11">
        <v>2</v>
      </c>
      <c r="O11">
        <v>6</v>
      </c>
      <c r="AG11">
        <v>2</v>
      </c>
      <c r="AH11" s="16">
        <f t="shared" si="1"/>
        <v>432.30912587873195</v>
      </c>
      <c r="AI11" s="16">
        <f t="shared" si="2"/>
        <v>7.751141022500567E-2</v>
      </c>
      <c r="AN11">
        <f t="shared" si="3"/>
        <v>8</v>
      </c>
      <c r="AO11" s="16">
        <f t="shared" si="4"/>
        <v>2.0588580783966012E-42</v>
      </c>
      <c r="AQ11" s="16">
        <f t="shared" si="5"/>
        <v>1.0197523488480589E+17</v>
      </c>
      <c r="AR11" s="16">
        <f t="shared" si="6"/>
        <v>92.575000000000003</v>
      </c>
    </row>
    <row r="12" spans="1:44" x14ac:dyDescent="0.3">
      <c r="A12">
        <v>11</v>
      </c>
      <c r="B12" t="s">
        <v>123</v>
      </c>
      <c r="C12" t="s">
        <v>3</v>
      </c>
      <c r="D12" t="s">
        <v>237</v>
      </c>
      <c r="E12" s="18">
        <v>23</v>
      </c>
      <c r="F12">
        <f t="shared" si="7"/>
        <v>12</v>
      </c>
      <c r="G12">
        <v>22.99</v>
      </c>
      <c r="H12">
        <f>(G12-(A12*'Atomic Particles'!C1))/'Atomic Particles'!C2+A12</f>
        <v>22.807626713108441</v>
      </c>
      <c r="I12" s="16">
        <f t="shared" si="0"/>
        <v>2.1160000000000001</v>
      </c>
      <c r="J12">
        <f>(('Atomic Particles'!C1)*A12)+(('Atomic Particles'!C2)*Elements!F12)</f>
        <v>23.184040378255418</v>
      </c>
      <c r="K12" s="17">
        <f>(E12^(1/3))*Constants!B2</f>
        <v>3.5548337248144571E-15</v>
      </c>
      <c r="L12" s="15">
        <v>11</v>
      </c>
      <c r="M12" s="19">
        <v>2</v>
      </c>
      <c r="N12">
        <v>2</v>
      </c>
      <c r="O12">
        <v>6</v>
      </c>
      <c r="P12">
        <v>1</v>
      </c>
      <c r="AG12">
        <v>10</v>
      </c>
      <c r="AH12" s="16">
        <f t="shared" si="1"/>
        <v>0.96192730309558183</v>
      </c>
      <c r="AI12" s="16">
        <f t="shared" si="2"/>
        <v>39.685842035202903</v>
      </c>
      <c r="AN12">
        <f t="shared" si="3"/>
        <v>1</v>
      </c>
      <c r="AO12" s="16">
        <f t="shared" si="4"/>
        <v>1.0541353361390598E-39</v>
      </c>
      <c r="AQ12" s="16">
        <f t="shared" si="5"/>
        <v>4726678641712014</v>
      </c>
      <c r="AR12" s="16">
        <f t="shared" si="6"/>
        <v>740.6</v>
      </c>
    </row>
    <row r="13" spans="1:44" x14ac:dyDescent="0.3">
      <c r="A13">
        <v>12</v>
      </c>
      <c r="B13" t="s">
        <v>124</v>
      </c>
      <c r="C13" t="s">
        <v>9</v>
      </c>
      <c r="D13" t="s">
        <v>238</v>
      </c>
      <c r="E13" s="18">
        <v>24</v>
      </c>
      <c r="F13">
        <f t="shared" si="7"/>
        <v>12</v>
      </c>
      <c r="G13">
        <v>24.305</v>
      </c>
      <c r="H13">
        <f>(G13-(A13*'Atomic Particles'!C1))/'Atomic Particles'!C2+A13</f>
        <v>24.112705709746507</v>
      </c>
      <c r="I13" s="16">
        <f t="shared" si="0"/>
        <v>1.0580000000000001</v>
      </c>
      <c r="J13">
        <f>(('Atomic Particles'!C1)*A13)+(('Atomic Particles'!C2)*Elements!F13)</f>
        <v>24.191317591677453</v>
      </c>
      <c r="K13" s="17">
        <f>(E13^(1/3))*Constants!B2</f>
        <v>3.6056239257685206E-15</v>
      </c>
      <c r="L13" s="15">
        <v>12</v>
      </c>
      <c r="M13" s="19">
        <v>2</v>
      </c>
      <c r="N13">
        <v>2</v>
      </c>
      <c r="O13">
        <v>6</v>
      </c>
      <c r="P13">
        <v>2</v>
      </c>
      <c r="AG13">
        <v>10</v>
      </c>
      <c r="AH13" s="16">
        <f t="shared" si="1"/>
        <v>8.1355869862507593</v>
      </c>
      <c r="AI13" s="16">
        <f t="shared" si="2"/>
        <v>4.9607302544003629</v>
      </c>
      <c r="AN13">
        <f t="shared" si="3"/>
        <v>2</v>
      </c>
      <c r="AO13" s="16">
        <f t="shared" si="4"/>
        <v>1.3176691701738247E-40</v>
      </c>
      <c r="AQ13" s="16">
        <f t="shared" si="5"/>
        <v>1.3963534113323978E+16</v>
      </c>
      <c r="AR13" s="16">
        <f t="shared" si="6"/>
        <v>370.3</v>
      </c>
    </row>
    <row r="14" spans="1:44" x14ac:dyDescent="0.3">
      <c r="A14">
        <v>13</v>
      </c>
      <c r="B14" t="s">
        <v>125</v>
      </c>
      <c r="C14" t="s">
        <v>53</v>
      </c>
      <c r="D14" t="s">
        <v>241</v>
      </c>
      <c r="E14" s="18">
        <v>27</v>
      </c>
      <c r="F14">
        <f t="shared" si="7"/>
        <v>14</v>
      </c>
      <c r="G14">
        <v>26.981999999999999</v>
      </c>
      <c r="H14">
        <f>(G14-(A14*'Atomic Particles'!C1))/'Atomic Particles'!C2+A14</f>
        <v>26.768083129331455</v>
      </c>
      <c r="I14" s="16">
        <f t="shared" si="0"/>
        <v>0.70533333333333337</v>
      </c>
      <c r="J14">
        <f>(('Atomic Particles'!C1)*A14)+(('Atomic Particles'!C2)*Elements!F14)</f>
        <v>27.215926643534992</v>
      </c>
      <c r="K14" s="17">
        <f>(E14^(1/3))*Constants!B2</f>
        <v>3.7499999999999998E-15</v>
      </c>
      <c r="L14" s="15">
        <v>13</v>
      </c>
      <c r="M14" s="19">
        <v>2</v>
      </c>
      <c r="N14">
        <v>2</v>
      </c>
      <c r="O14">
        <v>6</v>
      </c>
      <c r="P14">
        <v>1</v>
      </c>
      <c r="AG14">
        <v>10</v>
      </c>
      <c r="AH14" s="16">
        <f t="shared" si="1"/>
        <v>30.48184024738471</v>
      </c>
      <c r="AI14" s="16">
        <f t="shared" si="2"/>
        <v>1.4698460013038117</v>
      </c>
      <c r="AN14">
        <f t="shared" si="3"/>
        <v>3</v>
      </c>
      <c r="AO14" s="16">
        <f t="shared" si="4"/>
        <v>3.9042049486631853E-41</v>
      </c>
      <c r="AQ14" s="16">
        <f t="shared" si="5"/>
        <v>2.6700124845959052E+16</v>
      </c>
      <c r="AR14" s="16">
        <f t="shared" si="6"/>
        <v>246.86666666666667</v>
      </c>
    </row>
    <row r="15" spans="1:44" x14ac:dyDescent="0.3">
      <c r="A15">
        <v>14</v>
      </c>
      <c r="B15" t="s">
        <v>126</v>
      </c>
      <c r="C15" t="s">
        <v>61</v>
      </c>
      <c r="D15" t="s">
        <v>239</v>
      </c>
      <c r="E15" s="18">
        <v>28</v>
      </c>
      <c r="F15">
        <f t="shared" si="7"/>
        <v>14</v>
      </c>
      <c r="G15">
        <v>28.085000000000001</v>
      </c>
      <c r="H15">
        <f>(G15-(A15*'Atomic Particles'!C1))/'Atomic Particles'!C2+A15</f>
        <v>27.862983516817732</v>
      </c>
      <c r="I15" s="16">
        <f t="shared" si="0"/>
        <v>0.52900000000000003</v>
      </c>
      <c r="J15">
        <f>(('Atomic Particles'!C1)*A15)+(('Atomic Particles'!C2)*Elements!F15)</f>
        <v>28.223203856957028</v>
      </c>
      <c r="K15" s="17">
        <f>(E15^(1/3))*Constants!B2</f>
        <v>3.7957362148445774E-15</v>
      </c>
      <c r="L15" s="15">
        <v>14</v>
      </c>
      <c r="M15" s="19">
        <v>2</v>
      </c>
      <c r="N15">
        <v>2</v>
      </c>
      <c r="O15">
        <v>6</v>
      </c>
      <c r="P15">
        <v>2</v>
      </c>
      <c r="Q15">
        <v>2</v>
      </c>
      <c r="AG15">
        <v>10</v>
      </c>
      <c r="AH15" s="16">
        <f t="shared" si="1"/>
        <v>75.206899159465976</v>
      </c>
      <c r="AI15" s="16">
        <f t="shared" si="2"/>
        <v>0.62009128180004536</v>
      </c>
      <c r="AN15">
        <f t="shared" si="3"/>
        <v>4</v>
      </c>
      <c r="AO15" s="16">
        <f t="shared" si="4"/>
        <v>1.6470864627172809E-41</v>
      </c>
      <c r="AQ15" s="16">
        <f t="shared" si="5"/>
        <v>4.2659301362270136E+16</v>
      </c>
      <c r="AR15" s="16">
        <f t="shared" si="6"/>
        <v>185.15</v>
      </c>
    </row>
    <row r="16" spans="1:44" x14ac:dyDescent="0.3">
      <c r="A16">
        <v>15</v>
      </c>
      <c r="B16" t="s">
        <v>127</v>
      </c>
      <c r="C16" t="s">
        <v>64</v>
      </c>
      <c r="D16" t="s">
        <v>235</v>
      </c>
      <c r="E16" s="18">
        <v>31</v>
      </c>
      <c r="F16">
        <f t="shared" si="7"/>
        <v>16</v>
      </c>
      <c r="G16">
        <v>30.974</v>
      </c>
      <c r="H16">
        <f>(G16-(A16*'Atomic Particles'!C1))/'Atomic Particles'!C2+A16</f>
        <v>30.728539545554472</v>
      </c>
      <c r="I16" s="16">
        <f t="shared" si="0"/>
        <v>0.42320000000000002</v>
      </c>
      <c r="J16">
        <f>(('Atomic Particles'!C1)*A16)+(('Atomic Particles'!C2)*Elements!F16)</f>
        <v>31.247812908814566</v>
      </c>
      <c r="K16" s="17">
        <f>(E16^(1/3))*Constants!B2</f>
        <v>3.9267258154892411E-15</v>
      </c>
      <c r="L16" s="15">
        <v>15</v>
      </c>
      <c r="M16" s="19">
        <v>2</v>
      </c>
      <c r="N16">
        <v>2</v>
      </c>
      <c r="O16">
        <v>6</v>
      </c>
      <c r="P16">
        <v>2</v>
      </c>
      <c r="Q16">
        <v>3</v>
      </c>
      <c r="AG16">
        <v>10</v>
      </c>
      <c r="AH16" s="16">
        <f t="shared" si="1"/>
        <v>161.99834866291076</v>
      </c>
      <c r="AI16" s="16">
        <f t="shared" si="2"/>
        <v>0.31748673628162327</v>
      </c>
      <c r="AN16">
        <f t="shared" si="3"/>
        <v>5</v>
      </c>
      <c r="AO16" s="16">
        <f t="shared" si="4"/>
        <v>8.433082689112478E-42</v>
      </c>
      <c r="AQ16" s="16">
        <f t="shared" si="5"/>
        <v>6.1710685380381672E+16</v>
      </c>
      <c r="AR16" s="16">
        <f t="shared" si="6"/>
        <v>148.12</v>
      </c>
    </row>
    <row r="17" spans="1:44" x14ac:dyDescent="0.3">
      <c r="A17">
        <v>16</v>
      </c>
      <c r="B17" t="s">
        <v>128</v>
      </c>
      <c r="C17" t="s">
        <v>229</v>
      </c>
      <c r="D17" t="s">
        <v>235</v>
      </c>
      <c r="E17" s="18">
        <v>32</v>
      </c>
      <c r="F17">
        <f t="shared" si="7"/>
        <v>16</v>
      </c>
      <c r="G17">
        <v>32.06</v>
      </c>
      <c r="H17">
        <f>(G17-(A17*'Atomic Particles'!C1))/'Atomic Particles'!C2+A17</f>
        <v>31.806585987967257</v>
      </c>
      <c r="I17" s="16">
        <f t="shared" si="0"/>
        <v>0.35266666666666668</v>
      </c>
      <c r="J17">
        <f>(('Atomic Particles'!C1)*A17)+(('Atomic Particles'!C2)*Elements!F17)</f>
        <v>32.255090122236602</v>
      </c>
      <c r="K17" s="17">
        <f>(E17^(1/3))*Constants!B2</f>
        <v>3.9685026299204986E-15</v>
      </c>
      <c r="L17" s="15">
        <v>16</v>
      </c>
      <c r="M17" s="19">
        <v>2</v>
      </c>
      <c r="N17">
        <v>2</v>
      </c>
      <c r="O17">
        <v>6</v>
      </c>
      <c r="P17">
        <v>2</v>
      </c>
      <c r="Q17">
        <v>4</v>
      </c>
      <c r="AG17">
        <v>10</v>
      </c>
      <c r="AH17" s="16">
        <f t="shared" si="1"/>
        <v>289.7480685882897</v>
      </c>
      <c r="AI17" s="16">
        <f t="shared" si="2"/>
        <v>0.18373075016297646</v>
      </c>
      <c r="AN17">
        <f t="shared" si="3"/>
        <v>6</v>
      </c>
      <c r="AO17" s="16">
        <f t="shared" si="4"/>
        <v>4.8802561858289816E-42</v>
      </c>
      <c r="AQ17" s="16">
        <f t="shared" si="5"/>
        <v>8.378120467994384E+16</v>
      </c>
      <c r="AR17" s="16">
        <f t="shared" si="6"/>
        <v>123.43333333333334</v>
      </c>
    </row>
    <row r="18" spans="1:44" x14ac:dyDescent="0.3">
      <c r="A18">
        <v>17</v>
      </c>
      <c r="B18" t="s">
        <v>129</v>
      </c>
      <c r="C18" t="s">
        <v>71</v>
      </c>
      <c r="D18" t="s">
        <v>240</v>
      </c>
      <c r="E18" s="18">
        <v>37</v>
      </c>
      <c r="F18">
        <f t="shared" si="7"/>
        <v>20</v>
      </c>
      <c r="G18">
        <v>35.450000000000003</v>
      </c>
      <c r="H18">
        <f>(G18-(A18*'Atomic Particles'!C1))/'Atomic Particles'!C2+A18</f>
        <v>35.168837692105164</v>
      </c>
      <c r="I18" s="16">
        <f t="shared" si="0"/>
        <v>0.30228571428571427</v>
      </c>
      <c r="J18">
        <f>(('Atomic Particles'!C1)*A18)+(('Atomic Particles'!C2)*Elements!F18)</f>
        <v>37.297031012529651</v>
      </c>
      <c r="K18" s="17">
        <f>(E18^(1/3))*Constants!B2</f>
        <v>4.1652773145574406E-15</v>
      </c>
      <c r="L18" s="15">
        <v>17</v>
      </c>
      <c r="M18" s="19">
        <v>2</v>
      </c>
      <c r="N18">
        <v>2</v>
      </c>
      <c r="O18">
        <v>6</v>
      </c>
      <c r="P18">
        <v>2</v>
      </c>
      <c r="Q18">
        <v>5</v>
      </c>
      <c r="AG18">
        <v>10</v>
      </c>
      <c r="AH18" s="16">
        <f t="shared" si="1"/>
        <v>508.76079829905456</v>
      </c>
      <c r="AI18" s="16">
        <f t="shared" si="2"/>
        <v>0.1157021633679385</v>
      </c>
      <c r="AN18">
        <f t="shared" si="3"/>
        <v>7</v>
      </c>
      <c r="AO18" s="16">
        <f t="shared" si="4"/>
        <v>3.0732808633791827E-42</v>
      </c>
      <c r="AQ18" s="16">
        <f t="shared" si="5"/>
        <v>1.0882564617360877E+17</v>
      </c>
      <c r="AR18" s="16">
        <f t="shared" si="6"/>
        <v>105.8</v>
      </c>
    </row>
    <row r="19" spans="1:44" x14ac:dyDescent="0.3">
      <c r="A19">
        <v>18</v>
      </c>
      <c r="B19" t="s">
        <v>130</v>
      </c>
      <c r="C19" t="s">
        <v>80</v>
      </c>
      <c r="D19" t="s">
        <v>236</v>
      </c>
      <c r="E19" s="18">
        <v>38</v>
      </c>
      <c r="F19">
        <f t="shared" si="7"/>
        <v>20</v>
      </c>
      <c r="G19">
        <v>39.948</v>
      </c>
      <c r="H19">
        <f>(G19-(A19*'Atomic Particles'!C1))/'Atomic Particles'!C2+A19</f>
        <v>39.6295700516213</v>
      </c>
      <c r="I19" s="16">
        <f t="shared" si="0"/>
        <v>0.26450000000000001</v>
      </c>
      <c r="J19">
        <f>(('Atomic Particles'!C1)*A19)+(('Atomic Particles'!C2)*Elements!F19)</f>
        <v>38.304308225951686</v>
      </c>
      <c r="K19" s="17">
        <f>(E19^(1/3))*Constants!B2</f>
        <v>4.202469258498703E-15</v>
      </c>
      <c r="L19" s="15">
        <v>18</v>
      </c>
      <c r="M19" s="19">
        <v>2</v>
      </c>
      <c r="N19">
        <v>2</v>
      </c>
      <c r="O19">
        <v>6</v>
      </c>
      <c r="P19">
        <v>2</v>
      </c>
      <c r="Q19">
        <v>6</v>
      </c>
      <c r="AG19">
        <v>10</v>
      </c>
      <c r="AH19" s="16">
        <f t="shared" si="1"/>
        <v>855.79211895954336</v>
      </c>
      <c r="AI19" s="16">
        <f t="shared" si="2"/>
        <v>7.751141022500567E-2</v>
      </c>
      <c r="AN19">
        <f t="shared" si="3"/>
        <v>8</v>
      </c>
      <c r="AO19" s="16">
        <f t="shared" si="4"/>
        <v>2.0588580783966012E-42</v>
      </c>
      <c r="AQ19" s="16">
        <f t="shared" si="5"/>
        <v>1.368141343343603E+17</v>
      </c>
      <c r="AR19" s="16">
        <f t="shared" si="6"/>
        <v>92.575000000000003</v>
      </c>
    </row>
    <row r="20" spans="1:44" x14ac:dyDescent="0.3">
      <c r="A20">
        <v>19</v>
      </c>
      <c r="B20" t="s">
        <v>131</v>
      </c>
      <c r="C20" t="s">
        <v>4</v>
      </c>
      <c r="D20" t="s">
        <v>237</v>
      </c>
      <c r="E20" s="18">
        <v>39</v>
      </c>
      <c r="F20">
        <f t="shared" si="7"/>
        <v>20</v>
      </c>
      <c r="G20">
        <v>39.097999999999999</v>
      </c>
      <c r="H20">
        <f>(G20-(A20*'Atomic Particles'!C1))/'Atomic Particles'!C2+A20</f>
        <v>38.788249572723387</v>
      </c>
      <c r="I20" s="16">
        <f t="shared" si="0"/>
        <v>2.1160000000000001</v>
      </c>
      <c r="J20">
        <f>(('Atomic Particles'!C1)*A20)+(('Atomic Particles'!C2)*Elements!F20)</f>
        <v>39.311585439373715</v>
      </c>
      <c r="K20" s="17">
        <f>(E20^(1/3))*Constants!B2</f>
        <v>4.2390143037677072E-15</v>
      </c>
      <c r="L20" s="15">
        <v>19</v>
      </c>
      <c r="M20" s="19">
        <v>2</v>
      </c>
      <c r="N20">
        <v>2</v>
      </c>
      <c r="O20">
        <v>6</v>
      </c>
      <c r="P20">
        <v>2</v>
      </c>
      <c r="Q20">
        <v>6</v>
      </c>
      <c r="S20">
        <v>1</v>
      </c>
      <c r="AG20">
        <v>18</v>
      </c>
      <c r="AH20" s="16">
        <f t="shared" si="1"/>
        <v>1.635904032032669</v>
      </c>
      <c r="AI20" s="16">
        <f t="shared" si="2"/>
        <v>39.685842035202903</v>
      </c>
      <c r="AN20">
        <f t="shared" si="3"/>
        <v>1</v>
      </c>
      <c r="AO20" s="16">
        <f t="shared" si="4"/>
        <v>1.0541353361390598E-39</v>
      </c>
      <c r="AQ20" s="16">
        <f t="shared" si="5"/>
        <v>6212072766786198</v>
      </c>
      <c r="AR20" s="16">
        <f t="shared" si="6"/>
        <v>740.6</v>
      </c>
    </row>
    <row r="21" spans="1:44" x14ac:dyDescent="0.3">
      <c r="A21">
        <v>20</v>
      </c>
      <c r="B21" t="s">
        <v>132</v>
      </c>
      <c r="C21" t="s">
        <v>10</v>
      </c>
      <c r="D21" t="s">
        <v>238</v>
      </c>
      <c r="E21" s="18">
        <v>42</v>
      </c>
      <c r="F21">
        <f t="shared" si="7"/>
        <v>22</v>
      </c>
      <c r="G21">
        <v>40.078000000000003</v>
      </c>
      <c r="H21">
        <f>(G21-(A21*'Atomic Particles'!C1))/'Atomic Particles'!C2+A21</f>
        <v>39.761206710560273</v>
      </c>
      <c r="I21" s="16">
        <f t="shared" si="0"/>
        <v>1.0580000000000001</v>
      </c>
      <c r="J21">
        <f>(('Atomic Particles'!C1)*A21)+(('Atomic Particles'!C2)*Elements!F21)</f>
        <v>42.336194491231254</v>
      </c>
      <c r="K21" s="17">
        <f>(E21^(1/3))*Constants!B2</f>
        <v>4.3450333061080621E-15</v>
      </c>
      <c r="L21" s="15">
        <v>20</v>
      </c>
      <c r="M21" s="19">
        <v>2</v>
      </c>
      <c r="N21">
        <v>2</v>
      </c>
      <c r="O21">
        <v>6</v>
      </c>
      <c r="P21">
        <v>2</v>
      </c>
      <c r="Q21">
        <v>6</v>
      </c>
      <c r="S21">
        <v>2</v>
      </c>
      <c r="AG21">
        <v>18</v>
      </c>
      <c r="AH21" s="16">
        <f t="shared" si="1"/>
        <v>13.415266621475331</v>
      </c>
      <c r="AI21" s="16">
        <f t="shared" si="2"/>
        <v>4.9607302544003629</v>
      </c>
      <c r="AN21">
        <f t="shared" si="3"/>
        <v>2</v>
      </c>
      <c r="AO21" s="16">
        <f t="shared" si="4"/>
        <v>1.3176691701738247E-40</v>
      </c>
      <c r="AQ21" s="16">
        <f t="shared" si="5"/>
        <v>1.8026845025034304E+16</v>
      </c>
      <c r="AR21" s="16">
        <f t="shared" si="6"/>
        <v>370.3</v>
      </c>
    </row>
    <row r="22" spans="1:44" x14ac:dyDescent="0.3">
      <c r="A22">
        <v>21</v>
      </c>
      <c r="B22" t="s">
        <v>133</v>
      </c>
      <c r="C22" t="s">
        <v>14</v>
      </c>
      <c r="D22" t="s">
        <v>242</v>
      </c>
      <c r="E22" s="18">
        <v>45</v>
      </c>
      <c r="F22">
        <f t="shared" si="7"/>
        <v>24</v>
      </c>
      <c r="G22">
        <v>44.956000000000003</v>
      </c>
      <c r="H22">
        <f>(G22-(A22*'Atomic Particles'!C1))/'Atomic Particles'!C2+A22</f>
        <v>44.59867431289566</v>
      </c>
      <c r="I22" s="16">
        <f t="shared" si="0"/>
        <v>0.70533333333333337</v>
      </c>
      <c r="J22">
        <f>(('Atomic Particles'!C1)*A22)+(('Atomic Particles'!C2)*Elements!F22)</f>
        <v>45.360803543088799</v>
      </c>
      <c r="K22" s="17">
        <f>(E22^(1/3))*Constants!B2</f>
        <v>4.4461166306125785E-15</v>
      </c>
      <c r="L22" s="15">
        <v>21</v>
      </c>
      <c r="M22" s="19">
        <v>2</v>
      </c>
      <c r="N22">
        <v>2</v>
      </c>
      <c r="O22">
        <v>6</v>
      </c>
      <c r="P22">
        <v>2</v>
      </c>
      <c r="Q22">
        <v>6</v>
      </c>
      <c r="S22">
        <v>2</v>
      </c>
      <c r="AG22">
        <v>18</v>
      </c>
      <c r="AH22" s="16">
        <f t="shared" si="1"/>
        <v>50.787251136365995</v>
      </c>
      <c r="AI22" s="16">
        <f t="shared" si="2"/>
        <v>1.4698460013038117</v>
      </c>
      <c r="AN22">
        <f t="shared" si="3"/>
        <v>3</v>
      </c>
      <c r="AO22" s="16">
        <f t="shared" si="4"/>
        <v>3.9042049486631853E-41</v>
      </c>
      <c r="AQ22" s="16">
        <f t="shared" si="5"/>
        <v>3.3935266433184448E+16</v>
      </c>
      <c r="AR22" s="16">
        <f t="shared" si="6"/>
        <v>246.86666666666667</v>
      </c>
    </row>
    <row r="23" spans="1:44" x14ac:dyDescent="0.3">
      <c r="A23">
        <v>22</v>
      </c>
      <c r="B23" t="s">
        <v>134</v>
      </c>
      <c r="C23" t="s">
        <v>16</v>
      </c>
      <c r="D23" t="s">
        <v>242</v>
      </c>
      <c r="E23" s="18">
        <v>49</v>
      </c>
      <c r="F23">
        <f t="shared" si="7"/>
        <v>27</v>
      </c>
      <c r="G23">
        <v>47.866999999999997</v>
      </c>
      <c r="H23">
        <f>(G23-(A23*'Atomic Particles'!C1))/'Atomic Particles'!C2+A23</f>
        <v>47.486041329374565</v>
      </c>
      <c r="I23" s="16">
        <f t="shared" si="0"/>
        <v>0.52900000000000003</v>
      </c>
      <c r="J23">
        <f>(('Atomic Particles'!C1)*A23)+(('Atomic Particles'!C2)*Elements!F23)</f>
        <v>49.394078514164093</v>
      </c>
      <c r="K23" s="17">
        <f>(E23^(1/3))*Constants!B2</f>
        <v>4.5741321375287138E-15</v>
      </c>
      <c r="L23" s="15">
        <v>22</v>
      </c>
      <c r="M23" s="19">
        <v>2</v>
      </c>
      <c r="N23">
        <v>2</v>
      </c>
      <c r="O23">
        <v>6</v>
      </c>
      <c r="P23">
        <v>2</v>
      </c>
      <c r="Q23">
        <v>6</v>
      </c>
      <c r="R23">
        <v>2</v>
      </c>
      <c r="S23">
        <v>2</v>
      </c>
      <c r="AG23">
        <v>18</v>
      </c>
      <c r="AH23" s="16">
        <f t="shared" si="1"/>
        <v>128.17976293630613</v>
      </c>
      <c r="AI23" s="16">
        <f t="shared" si="2"/>
        <v>0.62009128180004536</v>
      </c>
      <c r="AN23">
        <f t="shared" si="3"/>
        <v>4</v>
      </c>
      <c r="AO23" s="16">
        <f t="shared" si="4"/>
        <v>1.6470864627172809E-41</v>
      </c>
      <c r="AQ23" s="16">
        <f t="shared" si="5"/>
        <v>5.3476264320706944E+16</v>
      </c>
      <c r="AR23" s="16">
        <f t="shared" si="6"/>
        <v>185.15</v>
      </c>
    </row>
    <row r="24" spans="1:44" x14ac:dyDescent="0.3">
      <c r="A24">
        <v>23</v>
      </c>
      <c r="B24" t="s">
        <v>135</v>
      </c>
      <c r="C24" t="s">
        <v>23</v>
      </c>
      <c r="D24" t="s">
        <v>242</v>
      </c>
      <c r="E24" s="18">
        <v>51</v>
      </c>
      <c r="F24">
        <f t="shared" si="7"/>
        <v>28</v>
      </c>
      <c r="G24">
        <v>50.942</v>
      </c>
      <c r="H24">
        <f>(G24-(A24*'Atomic Particles'!C1))/'Atomic Particles'!C2+A24</f>
        <v>50.535999345385989</v>
      </c>
      <c r="I24" s="16">
        <f t="shared" si="0"/>
        <v>0.42320000000000002</v>
      </c>
      <c r="J24">
        <f>(('Atomic Particles'!C23)*A2)+(('Atomic Particles'!C2)*Elements!F24)</f>
        <v>28.242645738097075</v>
      </c>
      <c r="K24" s="17">
        <f>(E24^(1/3))*Constants!B2</f>
        <v>4.6355372115827367E-15</v>
      </c>
      <c r="L24" s="15">
        <v>23</v>
      </c>
      <c r="M24" s="19">
        <v>2</v>
      </c>
      <c r="N24">
        <v>2</v>
      </c>
      <c r="O24">
        <v>6</v>
      </c>
      <c r="P24">
        <v>2</v>
      </c>
      <c r="Q24">
        <v>6</v>
      </c>
      <c r="R24">
        <v>3</v>
      </c>
      <c r="S24">
        <v>2</v>
      </c>
      <c r="AG24">
        <v>18</v>
      </c>
      <c r="AH24" s="16">
        <f t="shared" si="1"/>
        <v>266.43377922083039</v>
      </c>
      <c r="AI24" s="16">
        <f t="shared" si="2"/>
        <v>0.31748673628162327</v>
      </c>
      <c r="AN24">
        <f t="shared" si="3"/>
        <v>5</v>
      </c>
      <c r="AO24" s="16">
        <f t="shared" si="4"/>
        <v>8.433082689112478E-42</v>
      </c>
      <c r="AQ24" s="16">
        <f t="shared" si="5"/>
        <v>7.6415007196526704E+16</v>
      </c>
      <c r="AR24" s="16">
        <f t="shared" si="6"/>
        <v>148.12</v>
      </c>
    </row>
    <row r="25" spans="1:44" x14ac:dyDescent="0.3">
      <c r="A25">
        <v>24</v>
      </c>
      <c r="B25" t="s">
        <v>136</v>
      </c>
      <c r="C25" t="s">
        <v>24</v>
      </c>
      <c r="D25" t="s">
        <v>242</v>
      </c>
      <c r="E25" s="18">
        <v>52</v>
      </c>
      <c r="F25">
        <f t="shared" si="7"/>
        <v>28</v>
      </c>
      <c r="G25">
        <v>51.996000000000002</v>
      </c>
      <c r="H25">
        <f>(G25-(A25*'Atomic Particles'!C1))/'Atomic Particles'!C2+A25</f>
        <v>51.582320714719259</v>
      </c>
      <c r="I25" s="16">
        <f t="shared" si="0"/>
        <v>0.35266666666666668</v>
      </c>
      <c r="J25">
        <f>(('Atomic Particles'!C1)*A25)+(('Atomic Particles'!C2)*Elements!F25)</f>
        <v>52.417298860225912</v>
      </c>
      <c r="K25" s="17">
        <f>(E25^(1/3))*Constants!B2</f>
        <v>4.6656389460215607E-15</v>
      </c>
      <c r="L25" s="15">
        <v>24</v>
      </c>
      <c r="M25" s="19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1</v>
      </c>
      <c r="AG25">
        <v>18</v>
      </c>
      <c r="AH25" s="16">
        <f t="shared" si="1"/>
        <v>469.92328678467584</v>
      </c>
      <c r="AI25" s="16">
        <f t="shared" si="2"/>
        <v>0.18373075016297646</v>
      </c>
      <c r="AN25">
        <f t="shared" si="3"/>
        <v>6</v>
      </c>
      <c r="AO25" s="16">
        <f t="shared" si="4"/>
        <v>4.8802561858289816E-42</v>
      </c>
      <c r="AQ25" s="16">
        <f t="shared" si="5"/>
        <v>1.0261060075077022E+17</v>
      </c>
      <c r="AR25" s="16">
        <f t="shared" si="6"/>
        <v>123.43333333333334</v>
      </c>
    </row>
    <row r="26" spans="1:44" x14ac:dyDescent="0.3">
      <c r="A26">
        <v>25</v>
      </c>
      <c r="B26" t="s">
        <v>137</v>
      </c>
      <c r="C26" t="s">
        <v>31</v>
      </c>
      <c r="D26" t="s">
        <v>242</v>
      </c>
      <c r="E26" s="18">
        <v>55</v>
      </c>
      <c r="F26">
        <f t="shared" si="7"/>
        <v>30</v>
      </c>
      <c r="G26">
        <v>54.938000000000002</v>
      </c>
      <c r="H26">
        <f>(G26-(A26*'Atomic Particles'!C1))/'Atomic Particles'!C2+A26</f>
        <v>54.500421395743949</v>
      </c>
      <c r="I26" s="16">
        <f t="shared" si="0"/>
        <v>0.30228571428571427</v>
      </c>
      <c r="J26">
        <f>(('Atomic Particles'!C1)*A26)+(('Atomic Particles'!C2)*Elements!F26)</f>
        <v>55.441907912083451</v>
      </c>
      <c r="K26" s="17">
        <f>(E26^(1/3))*Constants!B2</f>
        <v>4.7536905759517394E-15</v>
      </c>
      <c r="L26" s="15">
        <v>25</v>
      </c>
      <c r="M26" s="19">
        <v>2</v>
      </c>
      <c r="N26">
        <v>2</v>
      </c>
      <c r="O26">
        <v>6</v>
      </c>
      <c r="P26">
        <v>2</v>
      </c>
      <c r="Q26">
        <v>6</v>
      </c>
      <c r="R26">
        <v>5</v>
      </c>
      <c r="S26">
        <v>2</v>
      </c>
      <c r="AG26">
        <v>18</v>
      </c>
      <c r="AH26" s="16">
        <f t="shared" si="1"/>
        <v>788.44289808049245</v>
      </c>
      <c r="AI26" s="16">
        <f t="shared" si="2"/>
        <v>0.1157021633679385</v>
      </c>
      <c r="AN26">
        <f t="shared" si="3"/>
        <v>7</v>
      </c>
      <c r="AO26" s="16">
        <f t="shared" si="4"/>
        <v>3.0732808633791827E-42</v>
      </c>
      <c r="AQ26" s="16">
        <f t="shared" si="5"/>
        <v>1.319704805734951E+17</v>
      </c>
      <c r="AR26" s="16">
        <f t="shared" si="6"/>
        <v>105.8</v>
      </c>
    </row>
    <row r="27" spans="1:44" x14ac:dyDescent="0.3">
      <c r="A27">
        <v>26</v>
      </c>
      <c r="B27" t="s">
        <v>138</v>
      </c>
      <c r="C27" t="s">
        <v>32</v>
      </c>
      <c r="D27" t="s">
        <v>242</v>
      </c>
      <c r="E27" s="18">
        <v>56</v>
      </c>
      <c r="F27">
        <f t="shared" si="7"/>
        <v>30</v>
      </c>
      <c r="G27">
        <v>55.844999999999999</v>
      </c>
      <c r="H27">
        <f>(G27-(A27*'Atomic Particles'!C1))/'Atomic Particles'!C2+A27</f>
        <v>55.401005710618186</v>
      </c>
      <c r="I27" s="16">
        <f t="shared" si="0"/>
        <v>0.26450000000000001</v>
      </c>
      <c r="J27">
        <f>(('Atomic Particles'!C1)*A27)+(('Atomic Particles'!C2)*Elements!F27)</f>
        <v>56.449185125505494</v>
      </c>
      <c r="K27" s="17">
        <f>(E27^(1/3))*Constants!B2</f>
        <v>4.7823279569309731E-15</v>
      </c>
      <c r="L27" s="15">
        <v>26</v>
      </c>
      <c r="M27" s="19">
        <v>2</v>
      </c>
      <c r="N27">
        <v>2</v>
      </c>
      <c r="O27">
        <v>6</v>
      </c>
      <c r="P27">
        <v>2</v>
      </c>
      <c r="Q27">
        <v>6</v>
      </c>
      <c r="R27">
        <v>6</v>
      </c>
      <c r="S27">
        <v>2</v>
      </c>
      <c r="AG27">
        <v>18</v>
      </c>
      <c r="AH27" s="16">
        <f t="shared" si="1"/>
        <v>1196.3480245142609</v>
      </c>
      <c r="AI27" s="16">
        <f t="shared" si="2"/>
        <v>7.751141022500567E-2</v>
      </c>
      <c r="AN27">
        <f t="shared" si="3"/>
        <v>8</v>
      </c>
      <c r="AO27" s="16">
        <f t="shared" si="4"/>
        <v>2.0588580783966012E-42</v>
      </c>
      <c r="AQ27" s="16">
        <f t="shared" si="5"/>
        <v>1.6443012551691814E+17</v>
      </c>
      <c r="AR27" s="16">
        <f t="shared" si="6"/>
        <v>92.575000000000003</v>
      </c>
    </row>
    <row r="28" spans="1:44" x14ac:dyDescent="0.3">
      <c r="A28">
        <v>27</v>
      </c>
      <c r="B28" t="s">
        <v>139</v>
      </c>
      <c r="C28" t="s">
        <v>39</v>
      </c>
      <c r="D28" t="s">
        <v>242</v>
      </c>
      <c r="E28" s="18">
        <v>59</v>
      </c>
      <c r="F28">
        <f t="shared" si="7"/>
        <v>32</v>
      </c>
      <c r="G28">
        <v>58.933</v>
      </c>
      <c r="H28">
        <f>(G28-(A28*'Atomic Particles'!C1))/'Atomic Particles'!C2+A28</f>
        <v>58.463852037568167</v>
      </c>
      <c r="I28" s="16">
        <f t="shared" si="0"/>
        <v>0.2351111111111111</v>
      </c>
      <c r="J28">
        <f>(('Atomic Particles'!C1)*A28)+(('Atomic Particles'!C2)*Elements!F28)</f>
        <v>59.473794177363033</v>
      </c>
      <c r="K28" s="17">
        <f>(E28^(1/3))*Constants!B2</f>
        <v>4.8662455198415752E-15</v>
      </c>
      <c r="L28" s="15">
        <v>27</v>
      </c>
      <c r="M28" s="19">
        <v>2</v>
      </c>
      <c r="N28">
        <v>2</v>
      </c>
      <c r="O28">
        <v>6</v>
      </c>
      <c r="P28">
        <v>2</v>
      </c>
      <c r="Q28">
        <v>6</v>
      </c>
      <c r="R28">
        <v>7</v>
      </c>
      <c r="S28">
        <v>2</v>
      </c>
      <c r="AG28">
        <v>18</v>
      </c>
      <c r="AH28" s="16">
        <f t="shared" si="1"/>
        <v>1797.5846810865144</v>
      </c>
      <c r="AI28" s="16">
        <f t="shared" si="2"/>
        <v>5.4438740789030049E-2</v>
      </c>
      <c r="AN28">
        <f t="shared" si="3"/>
        <v>9</v>
      </c>
      <c r="AO28" s="16">
        <f t="shared" si="4"/>
        <v>1.4460018328382159E-42</v>
      </c>
      <c r="AQ28" s="16">
        <f t="shared" si="5"/>
        <v>1.9994262063243664E+17</v>
      </c>
      <c r="AR28" s="16">
        <f t="shared" si="6"/>
        <v>82.288888888888891</v>
      </c>
    </row>
    <row r="29" spans="1:44" x14ac:dyDescent="0.3">
      <c r="A29">
        <v>28</v>
      </c>
      <c r="B29" t="s">
        <v>140</v>
      </c>
      <c r="C29" t="s">
        <v>40</v>
      </c>
      <c r="D29" t="s">
        <v>242</v>
      </c>
      <c r="E29" s="18">
        <v>60</v>
      </c>
      <c r="F29">
        <f t="shared" si="7"/>
        <v>32</v>
      </c>
      <c r="G29">
        <v>58.692999999999998</v>
      </c>
      <c r="H29">
        <f>(G29-(A29*'Atomic Particles'!C1))/'Atomic Particles'!C2+A29</f>
        <v>58.227290764248522</v>
      </c>
      <c r="I29" s="16">
        <f t="shared" si="0"/>
        <v>0.21160000000000001</v>
      </c>
      <c r="J29">
        <f>(('Atomic Particles'!C1)*A29)+(('Atomic Particles'!C2)*Elements!F29)</f>
        <v>60.481071390785061</v>
      </c>
      <c r="K29" s="17">
        <f>(E29^(1/3))*Constants!B2</f>
        <v>4.8935845514610794E-15</v>
      </c>
      <c r="L29" s="15">
        <v>28</v>
      </c>
      <c r="M29" s="19">
        <v>2</v>
      </c>
      <c r="N29">
        <v>2</v>
      </c>
      <c r="O29">
        <v>6</v>
      </c>
      <c r="P29">
        <v>2</v>
      </c>
      <c r="Q29">
        <v>6</v>
      </c>
      <c r="R29">
        <v>8</v>
      </c>
      <c r="S29">
        <v>2</v>
      </c>
      <c r="AG29">
        <v>18</v>
      </c>
      <c r="AH29" s="16">
        <f t="shared" si="1"/>
        <v>2455.7807394775546</v>
      </c>
      <c r="AI29" s="16">
        <f t="shared" si="2"/>
        <v>3.9685842035202909E-2</v>
      </c>
      <c r="AN29">
        <f t="shared" si="3"/>
        <v>10</v>
      </c>
      <c r="AO29" s="16">
        <f t="shared" si="4"/>
        <v>1.0541353361390597E-42</v>
      </c>
      <c r="AQ29" s="16">
        <f t="shared" si="5"/>
        <v>2.384727442967135E+17</v>
      </c>
      <c r="AR29" s="16">
        <f t="shared" si="6"/>
        <v>74.06</v>
      </c>
    </row>
    <row r="30" spans="1:44" x14ac:dyDescent="0.3">
      <c r="A30">
        <v>29</v>
      </c>
      <c r="B30" t="s">
        <v>141</v>
      </c>
      <c r="C30" t="s">
        <v>47</v>
      </c>
      <c r="D30" t="s">
        <v>242</v>
      </c>
      <c r="E30" s="18">
        <v>63</v>
      </c>
      <c r="F30">
        <f t="shared" si="7"/>
        <v>34</v>
      </c>
      <c r="G30">
        <v>63.545999999999999</v>
      </c>
      <c r="H30">
        <f>(G30-(A30*'Atomic Particles'!C1))/'Atomic Particles'!C2+A30</f>
        <v>63.039973153240538</v>
      </c>
      <c r="I30" s="16">
        <f t="shared" si="0"/>
        <v>0.19236363636363638</v>
      </c>
      <c r="J30">
        <f>(('Atomic Particles'!C1)*A30)+(('Atomic Particles'!C2)*Elements!F30)</f>
        <v>63.5056804426426</v>
      </c>
      <c r="K30" s="17">
        <f>(E30^(1/3))*Constants!B2</f>
        <v>4.9738215098704893E-15</v>
      </c>
      <c r="L30" s="15">
        <v>29</v>
      </c>
      <c r="M30" s="19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1</v>
      </c>
      <c r="AG30">
        <v>18</v>
      </c>
      <c r="AH30" s="16">
        <f t="shared" si="1"/>
        <v>3538.9102969875271</v>
      </c>
      <c r="AI30" s="16">
        <f t="shared" si="2"/>
        <v>2.9816560507289942E-2</v>
      </c>
      <c r="AN30">
        <f t="shared" si="3"/>
        <v>11</v>
      </c>
      <c r="AO30" s="16">
        <f t="shared" si="4"/>
        <v>7.9198748019463567E-43</v>
      </c>
      <c r="AQ30" s="16">
        <f t="shared" si="5"/>
        <v>2.7999337823580038E+17</v>
      </c>
      <c r="AR30" s="16">
        <f t="shared" si="6"/>
        <v>67.327272727272728</v>
      </c>
    </row>
    <row r="31" spans="1:44" x14ac:dyDescent="0.3">
      <c r="A31">
        <v>30</v>
      </c>
      <c r="B31" t="s">
        <v>142</v>
      </c>
      <c r="C31" t="s">
        <v>48</v>
      </c>
      <c r="D31" t="s">
        <v>242</v>
      </c>
      <c r="E31" s="18">
        <v>64</v>
      </c>
      <c r="F31">
        <f t="shared" si="7"/>
        <v>34</v>
      </c>
      <c r="G31">
        <v>65.38</v>
      </c>
      <c r="H31">
        <f>(G31-(A31*'Atomic Particles'!C1))/'Atomic Particles'!C2+A31</f>
        <v>64.859593178886996</v>
      </c>
      <c r="I31" s="16">
        <f t="shared" si="0"/>
        <v>0.17633333333333334</v>
      </c>
      <c r="J31">
        <f>(('Atomic Particles'!C1)*A31)+(('Atomic Particles'!C2)*Elements!F31)</f>
        <v>64.512957656064629</v>
      </c>
      <c r="K31" s="17">
        <f>(E31^(1/3))*Constants!B2</f>
        <v>4.9999999999999992E-15</v>
      </c>
      <c r="L31" s="15">
        <v>30</v>
      </c>
      <c r="M31" s="19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AG31">
        <v>18</v>
      </c>
      <c r="AH31" s="16">
        <f t="shared" si="1"/>
        <v>4727.0689268377728</v>
      </c>
      <c r="AI31" s="16">
        <f t="shared" si="2"/>
        <v>2.2966343770372058E-2</v>
      </c>
      <c r="AN31">
        <f t="shared" si="3"/>
        <v>12</v>
      </c>
      <c r="AO31" s="16">
        <f t="shared" si="4"/>
        <v>6.100320232286227E-43</v>
      </c>
      <c r="AQ31" s="16">
        <f t="shared" si="5"/>
        <v>3.2448321045061741E+17</v>
      </c>
      <c r="AR31" s="16">
        <f t="shared" si="6"/>
        <v>61.716666666666669</v>
      </c>
    </row>
    <row r="32" spans="1:44" x14ac:dyDescent="0.3">
      <c r="A32">
        <v>31</v>
      </c>
      <c r="B32" t="s">
        <v>143</v>
      </c>
      <c r="C32" t="s">
        <v>54</v>
      </c>
      <c r="D32" t="s">
        <v>241</v>
      </c>
      <c r="E32" s="18">
        <v>71</v>
      </c>
      <c r="F32">
        <f t="shared" si="7"/>
        <v>40</v>
      </c>
      <c r="G32">
        <v>69.722999999999999</v>
      </c>
      <c r="H32">
        <f>(G32-(A32*'Atomic Particles'!C1))/'Atomic Particles'!C2+A32</f>
        <v>69.166657215674235</v>
      </c>
      <c r="I32" s="16">
        <f t="shared" si="0"/>
        <v>0.16276923076923078</v>
      </c>
      <c r="J32">
        <f>(('Atomic Particles'!C1)*A32)+(('Atomic Particles'!C2)*Elements!F32)</f>
        <v>71.572230384793187</v>
      </c>
      <c r="K32" s="17">
        <f>(E32^(1/3))*Constants!B2</f>
        <v>5.1760221867785662E-15</v>
      </c>
      <c r="L32" s="15">
        <v>31</v>
      </c>
      <c r="M32" s="19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1</v>
      </c>
      <c r="AG32">
        <v>18</v>
      </c>
      <c r="AH32" s="16">
        <f t="shared" si="1"/>
        <v>6409.2823317160473</v>
      </c>
      <c r="AI32" s="16">
        <f t="shared" si="2"/>
        <v>1.8063651358763273E-2</v>
      </c>
      <c r="AN32">
        <f t="shared" si="3"/>
        <v>13</v>
      </c>
      <c r="AO32" s="16">
        <f t="shared" si="4"/>
        <v>4.7980670739147005E-43</v>
      </c>
      <c r="AQ32" s="16">
        <f t="shared" si="5"/>
        <v>3.7192520341793536E+17</v>
      </c>
      <c r="AR32" s="16">
        <f t="shared" si="6"/>
        <v>56.969230769230769</v>
      </c>
    </row>
    <row r="33" spans="1:44" x14ac:dyDescent="0.3">
      <c r="A33">
        <v>32</v>
      </c>
      <c r="B33" t="s">
        <v>144</v>
      </c>
      <c r="C33" t="s">
        <v>230</v>
      </c>
      <c r="D33" t="s">
        <v>239</v>
      </c>
      <c r="E33" s="18">
        <v>70</v>
      </c>
      <c r="F33">
        <f t="shared" si="7"/>
        <v>38</v>
      </c>
      <c r="G33">
        <v>72.63</v>
      </c>
      <c r="H33">
        <f>(G33-(A33*'Atomic Particles'!C1))/'Atomic Particles'!C2+A33</f>
        <v>72.050058598018182</v>
      </c>
      <c r="I33" s="16">
        <f t="shared" si="0"/>
        <v>0.15114285714285713</v>
      </c>
      <c r="J33">
        <f>(('Atomic Particles'!C1)*A33)+(('Atomic Particles'!C2)*Elements!F33)</f>
        <v>70.56217575977972</v>
      </c>
      <c r="K33" s="17">
        <f>(E33^(1/3))*Constants!B2</f>
        <v>5.1516066247606958E-15</v>
      </c>
      <c r="L33" s="15">
        <v>32</v>
      </c>
      <c r="M33" s="19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2</v>
      </c>
      <c r="AG33">
        <v>18</v>
      </c>
      <c r="AH33" s="16">
        <f t="shared" si="1"/>
        <v>8338.7975809219352</v>
      </c>
      <c r="AI33" s="16">
        <f t="shared" si="2"/>
        <v>1.4462770420992312E-2</v>
      </c>
      <c r="AN33">
        <f t="shared" si="3"/>
        <v>14</v>
      </c>
      <c r="AO33" s="16">
        <f t="shared" si="4"/>
        <v>3.8416010792239783E-43</v>
      </c>
      <c r="AQ33" s="16">
        <f t="shared" si="5"/>
        <v>4.2230553783518432E+17</v>
      </c>
      <c r="AR33" s="16">
        <f t="shared" si="6"/>
        <v>52.9</v>
      </c>
    </row>
    <row r="34" spans="1:44" x14ac:dyDescent="0.3">
      <c r="A34">
        <v>33</v>
      </c>
      <c r="B34" t="s">
        <v>145</v>
      </c>
      <c r="C34" t="s">
        <v>65</v>
      </c>
      <c r="D34" t="s">
        <v>239</v>
      </c>
      <c r="E34" s="18">
        <v>75</v>
      </c>
      <c r="F34">
        <f t="shared" si="7"/>
        <v>42</v>
      </c>
      <c r="G34">
        <v>74.921999999999997</v>
      </c>
      <c r="H34">
        <f>(G34-(A34*'Atomic Particles'!C1))/'Atomic Particles'!C2+A34</f>
        <v>74.323743732115219</v>
      </c>
      <c r="I34" s="16">
        <f t="shared" si="0"/>
        <v>0.14106666666666667</v>
      </c>
      <c r="J34">
        <f>(('Atomic Particles'!C1)*A34)+(('Atomic Particles'!C2)*Elements!F34)</f>
        <v>75.604116650072768</v>
      </c>
      <c r="K34" s="17">
        <f>(E34^(1/3))*Constants!B2</f>
        <v>5.2714541581359321E-15</v>
      </c>
      <c r="L34" s="15">
        <v>33</v>
      </c>
      <c r="M34" s="19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3</v>
      </c>
      <c r="AG34">
        <v>18</v>
      </c>
      <c r="AH34" s="16">
        <f t="shared" si="1"/>
        <v>10580.01832246756</v>
      </c>
      <c r="AI34" s="16">
        <f t="shared" si="2"/>
        <v>1.1758768010430493E-2</v>
      </c>
      <c r="AN34">
        <f t="shared" si="3"/>
        <v>15</v>
      </c>
      <c r="AO34" s="16">
        <f t="shared" si="4"/>
        <v>3.1233639589305478E-43</v>
      </c>
      <c r="AQ34" s="16">
        <f t="shared" si="5"/>
        <v>4.7561286377989958E+17</v>
      </c>
      <c r="AR34" s="16">
        <f t="shared" si="6"/>
        <v>49.373333333333335</v>
      </c>
    </row>
    <row r="35" spans="1:44" x14ac:dyDescent="0.3">
      <c r="A35">
        <v>34</v>
      </c>
      <c r="B35" t="s">
        <v>146</v>
      </c>
      <c r="C35" t="s">
        <v>231</v>
      </c>
      <c r="D35" t="s">
        <v>235</v>
      </c>
      <c r="E35" s="18">
        <v>77</v>
      </c>
      <c r="F35">
        <f t="shared" si="7"/>
        <v>43</v>
      </c>
      <c r="G35">
        <v>78.971000000000004</v>
      </c>
      <c r="H35">
        <f>(G35-(A35*'Atomic Particles'!C1))/'Atomic Particles'!C2+A35</f>
        <v>78.339333659984405</v>
      </c>
      <c r="I35" s="16">
        <f t="shared" si="0"/>
        <v>0.13225000000000001</v>
      </c>
      <c r="J35">
        <f>(('Atomic Particles'!C1)*A35)+(('Atomic Particles'!C2)*Elements!F35)</f>
        <v>77.620059782712559</v>
      </c>
      <c r="K35" s="17">
        <f>(E35^(1/3))*Constants!B2</f>
        <v>5.3179010813937576E-15</v>
      </c>
      <c r="L35" s="15">
        <v>34</v>
      </c>
      <c r="M35" s="19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4</v>
      </c>
      <c r="AG35">
        <v>18</v>
      </c>
      <c r="AH35" s="16">
        <f t="shared" si="1"/>
        <v>13534.146275428877</v>
      </c>
      <c r="AI35" s="16">
        <f t="shared" si="2"/>
        <v>9.6889262781257087E-3</v>
      </c>
      <c r="AN35">
        <f t="shared" si="3"/>
        <v>16</v>
      </c>
      <c r="AO35" s="16">
        <f t="shared" si="4"/>
        <v>2.5735725979957515E-43</v>
      </c>
      <c r="AQ35" s="16">
        <f t="shared" si="5"/>
        <v>5.3183775722570522E+17</v>
      </c>
      <c r="AR35" s="16">
        <f t="shared" si="6"/>
        <v>46.287500000000001</v>
      </c>
    </row>
    <row r="36" spans="1:44" x14ac:dyDescent="0.3">
      <c r="A36">
        <v>35</v>
      </c>
      <c r="B36" t="s">
        <v>147</v>
      </c>
      <c r="C36" t="s">
        <v>72</v>
      </c>
      <c r="D36" t="s">
        <v>240</v>
      </c>
      <c r="E36" s="18">
        <v>81</v>
      </c>
      <c r="F36">
        <f t="shared" si="7"/>
        <v>46</v>
      </c>
      <c r="G36">
        <v>79.903999999999996</v>
      </c>
      <c r="H36">
        <f>(G36-(A36*'Atomic Particles'!C1))/'Atomic Particles'!C2+A36</f>
        <v>79.265694596735756</v>
      </c>
      <c r="I36" s="16">
        <f t="shared" si="0"/>
        <v>0.12447058823529412</v>
      </c>
      <c r="J36">
        <f>(('Atomic Particles'!C1)*A36)+(('Atomic Particles'!C2)*Elements!F36)</f>
        <v>81.653334753787846</v>
      </c>
      <c r="K36" s="17">
        <f>(E36^(1/3))*Constants!B2</f>
        <v>5.4084358886527817E-15</v>
      </c>
      <c r="L36" s="15">
        <v>35</v>
      </c>
      <c r="M36" s="19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5</v>
      </c>
      <c r="AG36">
        <v>18</v>
      </c>
      <c r="AH36" s="16">
        <f t="shared" si="1"/>
        <v>16425.498743803262</v>
      </c>
      <c r="AI36" s="16">
        <f t="shared" si="2"/>
        <v>8.0777207480567693E-3</v>
      </c>
      <c r="AN36">
        <f t="shared" si="3"/>
        <v>17</v>
      </c>
      <c r="AO36" s="16">
        <f t="shared" si="4"/>
        <v>2.1456041850988394E-43</v>
      </c>
      <c r="AQ36" s="16">
        <f t="shared" si="5"/>
        <v>5.909723175959991E+17</v>
      </c>
      <c r="AR36" s="16">
        <f t="shared" si="6"/>
        <v>43.564705882352946</v>
      </c>
    </row>
    <row r="37" spans="1:44" x14ac:dyDescent="0.3">
      <c r="A37">
        <v>36</v>
      </c>
      <c r="B37" t="s">
        <v>148</v>
      </c>
      <c r="C37" t="s">
        <v>79</v>
      </c>
      <c r="D37" t="s">
        <v>236</v>
      </c>
      <c r="E37" s="18">
        <v>83</v>
      </c>
      <c r="F37">
        <f t="shared" si="7"/>
        <v>47</v>
      </c>
      <c r="G37">
        <v>83.798000000000002</v>
      </c>
      <c r="H37">
        <f>(G37-(A37*'Atomic Particles'!C1))/'Atomic Particles'!C2+A37</f>
        <v>83.127616201876037</v>
      </c>
      <c r="I37" s="16">
        <f t="shared" si="0"/>
        <v>0.11755555555555555</v>
      </c>
      <c r="J37">
        <f>(('Atomic Particles'!C1)*A37)+(('Atomic Particles'!C2)*Elements!F37)</f>
        <v>83.669277886427636</v>
      </c>
      <c r="K37" s="17">
        <f>(E37^(1/3))*Constants!B2</f>
        <v>5.4525883393185473E-15</v>
      </c>
      <c r="L37" s="15">
        <v>36</v>
      </c>
      <c r="M37" s="19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AG37">
        <v>18</v>
      </c>
      <c r="AH37" s="16">
        <f t="shared" si="1"/>
        <v>20448.170105806628</v>
      </c>
      <c r="AI37" s="16">
        <f t="shared" si="2"/>
        <v>6.8048425986287561E-3</v>
      </c>
      <c r="AN37">
        <f t="shared" si="3"/>
        <v>18</v>
      </c>
      <c r="AO37" s="16">
        <f t="shared" si="4"/>
        <v>1.8075022910477699E-43</v>
      </c>
      <c r="AQ37" s="16">
        <f t="shared" si="5"/>
        <v>6.5300986451245568E+17</v>
      </c>
      <c r="AR37" s="16">
        <f t="shared" si="6"/>
        <v>41.144444444444446</v>
      </c>
    </row>
    <row r="38" spans="1:44" x14ac:dyDescent="0.3">
      <c r="A38">
        <v>37</v>
      </c>
      <c r="B38" t="s">
        <v>227</v>
      </c>
      <c r="C38" t="s">
        <v>5</v>
      </c>
      <c r="D38" t="s">
        <v>237</v>
      </c>
      <c r="E38" s="18">
        <v>85</v>
      </c>
      <c r="F38">
        <f t="shared" si="7"/>
        <v>48</v>
      </c>
      <c r="G38">
        <v>85.468000000000004</v>
      </c>
      <c r="H38">
        <f>(G38-(A38*'Atomic Particles'!C1))/'Atomic Particles'!C2+A38</f>
        <v>84.784645227989984</v>
      </c>
      <c r="I38" s="16">
        <f t="shared" si="0"/>
        <v>2.1160000000000001</v>
      </c>
      <c r="J38">
        <f>(('Atomic Particles'!C1)*A38)+(('Atomic Particles'!C2)*Elements!F38)</f>
        <v>85.685221019067427</v>
      </c>
      <c r="K38" s="17">
        <f>(E38^(1/3))*Constants!B2</f>
        <v>5.4960370901977238E-15</v>
      </c>
      <c r="L38" s="15">
        <v>37</v>
      </c>
      <c r="M38" s="19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1</v>
      </c>
      <c r="AG38">
        <v>36</v>
      </c>
      <c r="AH38" s="16">
        <f t="shared" si="1"/>
        <v>3.5760766742485077</v>
      </c>
      <c r="AI38" s="16">
        <f t="shared" si="2"/>
        <v>39.685842035202903</v>
      </c>
      <c r="AN38">
        <f t="shared" si="3"/>
        <v>1</v>
      </c>
      <c r="AO38" s="16">
        <f t="shared" si="4"/>
        <v>1.0541353361390598E-39</v>
      </c>
      <c r="AQ38" s="16">
        <f t="shared" si="5"/>
        <v>8668832186919105</v>
      </c>
      <c r="AR38" s="16">
        <f t="shared" si="6"/>
        <v>740.6</v>
      </c>
    </row>
    <row r="39" spans="1:44" x14ac:dyDescent="0.3">
      <c r="A39">
        <v>38</v>
      </c>
      <c r="B39" t="s">
        <v>149</v>
      </c>
      <c r="C39" t="s">
        <v>11</v>
      </c>
      <c r="D39" t="s">
        <v>238</v>
      </c>
      <c r="E39" s="18">
        <v>88</v>
      </c>
      <c r="F39">
        <f>E39-A39</f>
        <v>50</v>
      </c>
      <c r="G39">
        <v>87.62</v>
      </c>
      <c r="H39">
        <f>(G39-(A39*'Atomic Particles'!C1))/'Atomic Particles'!C2+A39</f>
        <v>86.919533167364136</v>
      </c>
      <c r="I39" s="16">
        <f t="shared" si="0"/>
        <v>1.0580000000000001</v>
      </c>
      <c r="J39">
        <f>(('Atomic Particles'!C1)*A39)+(('Atomic Particles'!C2)*Elements!F39)</f>
        <v>88.709830070924966</v>
      </c>
      <c r="K39" s="17">
        <f>(E39^(1/3))*Constants!B2</f>
        <v>5.5599502264232888E-15</v>
      </c>
      <c r="L39" s="15">
        <v>38</v>
      </c>
      <c r="M39" s="19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W39">
        <v>2</v>
      </c>
      <c r="AG39">
        <v>36</v>
      </c>
      <c r="AH39" s="16">
        <f t="shared" si="1"/>
        <v>29.328950081682432</v>
      </c>
      <c r="AI39" s="16">
        <f t="shared" si="2"/>
        <v>4.9607302544003629</v>
      </c>
      <c r="AN39">
        <f t="shared" si="3"/>
        <v>2</v>
      </c>
      <c r="AO39" s="16">
        <f t="shared" si="4"/>
        <v>1.3176691701738247E-40</v>
      </c>
      <c r="AQ39" s="16">
        <f t="shared" si="5"/>
        <v>2.4848291067144792E+16</v>
      </c>
      <c r="AR39" s="16">
        <f t="shared" si="6"/>
        <v>370.3</v>
      </c>
    </row>
    <row r="40" spans="1:44" x14ac:dyDescent="0.3">
      <c r="A40">
        <v>39</v>
      </c>
      <c r="B40" t="s">
        <v>150</v>
      </c>
      <c r="C40" t="s">
        <v>15</v>
      </c>
      <c r="D40" t="s">
        <v>242</v>
      </c>
      <c r="E40" s="18">
        <v>89</v>
      </c>
      <c r="F40">
        <f>E40-A40</f>
        <v>50</v>
      </c>
      <c r="G40">
        <v>88.906000000000006</v>
      </c>
      <c r="H40">
        <f>(G40-(A40*'Atomic Particles'!C1))/'Atomic Particles'!C2+A40</f>
        <v>88.195861316523889</v>
      </c>
      <c r="I40" s="16">
        <f t="shared" si="0"/>
        <v>0.70533333333333337</v>
      </c>
      <c r="J40">
        <f>(('Atomic Particles'!C1)*A40)+(('Atomic Particles'!C2)*Elements!F40)</f>
        <v>89.717107284346994</v>
      </c>
      <c r="K40" s="17">
        <f>(E40^(1/3))*Constants!B2</f>
        <v>5.5809313694806703E-15</v>
      </c>
      <c r="L40" s="15">
        <v>39</v>
      </c>
      <c r="M40" s="19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1</v>
      </c>
      <c r="W40">
        <v>2</v>
      </c>
      <c r="AG40">
        <v>36</v>
      </c>
      <c r="AH40" s="16">
        <f t="shared" si="1"/>
        <v>100.43801382529038</v>
      </c>
      <c r="AI40" s="16">
        <f t="shared" si="2"/>
        <v>1.4698460013038117</v>
      </c>
      <c r="AN40">
        <f t="shared" si="3"/>
        <v>3</v>
      </c>
      <c r="AO40" s="16">
        <f t="shared" si="4"/>
        <v>3.9042049486631853E-41</v>
      </c>
      <c r="AQ40" s="16">
        <f t="shared" si="5"/>
        <v>4.6245972801633216E+16</v>
      </c>
      <c r="AR40" s="16">
        <f t="shared" si="6"/>
        <v>246.86666666666667</v>
      </c>
    </row>
    <row r="41" spans="1:44" x14ac:dyDescent="0.3">
      <c r="A41">
        <v>40</v>
      </c>
      <c r="B41" t="s">
        <v>151</v>
      </c>
      <c r="C41" t="s">
        <v>17</v>
      </c>
      <c r="D41" t="s">
        <v>242</v>
      </c>
      <c r="E41" s="18">
        <v>88</v>
      </c>
      <c r="F41">
        <f>E41-A41</f>
        <v>48</v>
      </c>
      <c r="G41">
        <v>91.224000000000004</v>
      </c>
      <c r="H41">
        <f>(G41-(A41*'Atomic Particles'!C1))/'Atomic Particles'!C2+A41</f>
        <v>90.495323072498024</v>
      </c>
      <c r="I41" s="16">
        <f t="shared" si="0"/>
        <v>0.52900000000000003</v>
      </c>
      <c r="J41">
        <f>(('Atomic Particles'!C1)*A41)+(('Atomic Particles'!C2)*Elements!F41)</f>
        <v>88.707052659333527</v>
      </c>
      <c r="K41" s="17">
        <f>(E41^(1/3))*Constants!B2</f>
        <v>5.5599502264232888E-15</v>
      </c>
      <c r="L41" s="15">
        <v>40</v>
      </c>
      <c r="M41" s="19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2</v>
      </c>
      <c r="W41">
        <v>2</v>
      </c>
      <c r="AG41">
        <v>36</v>
      </c>
      <c r="AH41" s="16">
        <f t="shared" si="1"/>
        <v>244.28250556963232</v>
      </c>
      <c r="AI41" s="16">
        <f t="shared" si="2"/>
        <v>0.62009128180004536</v>
      </c>
      <c r="AN41">
        <f t="shared" si="3"/>
        <v>4</v>
      </c>
      <c r="AO41" s="16">
        <f t="shared" si="4"/>
        <v>1.6470864627172809E-41</v>
      </c>
      <c r="AQ41" s="16">
        <f t="shared" si="5"/>
        <v>7.2107380100137216E+16</v>
      </c>
      <c r="AR41" s="16">
        <f t="shared" si="6"/>
        <v>185.15</v>
      </c>
    </row>
    <row r="42" spans="1:44" x14ac:dyDescent="0.3">
      <c r="A42">
        <v>41</v>
      </c>
      <c r="B42" t="s">
        <v>152</v>
      </c>
      <c r="C42" t="s">
        <v>22</v>
      </c>
      <c r="D42" t="s">
        <v>242</v>
      </c>
      <c r="E42" s="18">
        <v>93</v>
      </c>
      <c r="F42">
        <f t="shared" si="7"/>
        <v>52</v>
      </c>
      <c r="G42">
        <v>92.906000000000006</v>
      </c>
      <c r="H42">
        <f>(G42-(A42*'Atomic Particles'!C1))/'Atomic Particles'!C2+A42</f>
        <v>92.164249001016771</v>
      </c>
      <c r="I42" s="16">
        <f t="shared" si="0"/>
        <v>0.42320000000000002</v>
      </c>
      <c r="J42">
        <f>(('Atomic Particles'!C1)*A42)+(('Atomic Particles'!C2)*Elements!F42)</f>
        <v>93.748993549626576</v>
      </c>
      <c r="K42" s="17">
        <f>(E42^(1/3))*Constants!B2</f>
        <v>5.6633186201043664E-15</v>
      </c>
      <c r="L42" s="15">
        <v>41</v>
      </c>
      <c r="M42" s="19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4</v>
      </c>
      <c r="W42">
        <v>1</v>
      </c>
      <c r="AG42">
        <v>36</v>
      </c>
      <c r="AH42" s="16">
        <f t="shared" si="1"/>
        <v>485.91136375270833</v>
      </c>
      <c r="AI42" s="16">
        <f t="shared" si="2"/>
        <v>0.31748673628162327</v>
      </c>
      <c r="AN42">
        <f t="shared" si="3"/>
        <v>5</v>
      </c>
      <c r="AO42" s="16">
        <f t="shared" si="4"/>
        <v>8.433082689112478E-42</v>
      </c>
      <c r="AQ42" s="16">
        <f t="shared" si="5"/>
        <v>1.0202501532950128E+17</v>
      </c>
      <c r="AR42" s="16">
        <f t="shared" si="6"/>
        <v>148.12</v>
      </c>
    </row>
    <row r="43" spans="1:44" x14ac:dyDescent="0.3">
      <c r="A43">
        <v>42</v>
      </c>
      <c r="B43" t="s">
        <v>153</v>
      </c>
      <c r="C43" t="s">
        <v>25</v>
      </c>
      <c r="D43" t="s">
        <v>242</v>
      </c>
      <c r="E43" s="18">
        <v>95</v>
      </c>
      <c r="F43">
        <f t="shared" si="7"/>
        <v>53</v>
      </c>
      <c r="G43">
        <v>95.95</v>
      </c>
      <c r="H43">
        <f>(G43-(A43*'Atomic Particles'!C1))/'Atomic Particles'!C2+A43</f>
        <v>95.183473352482423</v>
      </c>
      <c r="I43" s="16">
        <f t="shared" si="0"/>
        <v>0.35266666666666668</v>
      </c>
      <c r="J43">
        <f>(('Atomic Particles'!C1)*A43)+(('Atomic Particles'!C2)*Elements!F43)</f>
        <v>95.764936682266352</v>
      </c>
      <c r="K43" s="17">
        <f>(E43^(1/3))*Constants!B2</f>
        <v>5.7036282942337079E-15</v>
      </c>
      <c r="L43" s="15">
        <v>42</v>
      </c>
      <c r="M43" s="19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1</v>
      </c>
      <c r="AG43">
        <v>36</v>
      </c>
      <c r="AH43" s="16">
        <f t="shared" si="1"/>
        <v>867.16553902203339</v>
      </c>
      <c r="AI43" s="16">
        <f t="shared" si="2"/>
        <v>0.18373075016297646</v>
      </c>
      <c r="AN43">
        <f t="shared" si="3"/>
        <v>6</v>
      </c>
      <c r="AO43" s="16">
        <f t="shared" si="4"/>
        <v>4.8802561858289816E-42</v>
      </c>
      <c r="AQ43" s="16">
        <f t="shared" si="5"/>
        <v>1.3574106573273779E+17</v>
      </c>
      <c r="AR43" s="16">
        <f t="shared" si="6"/>
        <v>123.43333333333334</v>
      </c>
    </row>
    <row r="44" spans="1:44" x14ac:dyDescent="0.3">
      <c r="A44">
        <v>43</v>
      </c>
      <c r="B44" t="s">
        <v>154</v>
      </c>
      <c r="C44" t="s">
        <v>33</v>
      </c>
      <c r="D44" t="s">
        <v>242</v>
      </c>
      <c r="E44" s="18">
        <v>97</v>
      </c>
      <c r="F44">
        <f t="shared" si="7"/>
        <v>54</v>
      </c>
      <c r="G44">
        <v>98</v>
      </c>
      <c r="H44">
        <f>(G44-(A44*'Atomic Particles'!C1))/'Atomic Particles'!C2+A44</f>
        <v>97.217237621415606</v>
      </c>
      <c r="I44" s="16">
        <f t="shared" si="0"/>
        <v>0.30228571428571427</v>
      </c>
      <c r="J44">
        <f>(('Atomic Particles'!C1)*A44)+(('Atomic Particles'!C2)*Elements!F44)</f>
        <v>97.780879814906143</v>
      </c>
      <c r="K44" s="17">
        <f>(E44^(1/3))*Constants!B2</f>
        <v>5.743376115258799E-15</v>
      </c>
      <c r="L44" s="15">
        <v>43</v>
      </c>
      <c r="M44" s="19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5</v>
      </c>
      <c r="W44">
        <v>2</v>
      </c>
      <c r="AG44">
        <v>36</v>
      </c>
      <c r="AH44" s="16">
        <f t="shared" si="1"/>
        <v>1406.447340854932</v>
      </c>
      <c r="AI44" s="16">
        <f t="shared" si="2"/>
        <v>0.1157021633679385</v>
      </c>
      <c r="AN44">
        <f t="shared" si="3"/>
        <v>7</v>
      </c>
      <c r="AO44" s="16">
        <f t="shared" si="4"/>
        <v>3.0732808633791827E-42</v>
      </c>
      <c r="AQ44" s="16">
        <f t="shared" si="5"/>
        <v>1.7307766267665709E+17</v>
      </c>
      <c r="AR44" s="16">
        <f t="shared" si="6"/>
        <v>105.8</v>
      </c>
    </row>
    <row r="45" spans="1:44" x14ac:dyDescent="0.3">
      <c r="A45">
        <v>44</v>
      </c>
      <c r="B45" t="s">
        <v>155</v>
      </c>
      <c r="C45" t="s">
        <v>38</v>
      </c>
      <c r="D45" t="s">
        <v>242</v>
      </c>
      <c r="E45" s="18">
        <v>101</v>
      </c>
      <c r="F45">
        <f t="shared" si="7"/>
        <v>57</v>
      </c>
      <c r="G45">
        <v>101.07</v>
      </c>
      <c r="H45">
        <f>(G45-(A45*'Atomic Particles'!C1))/'Atomic Particles'!C2+A45</f>
        <v>100.26223859475836</v>
      </c>
      <c r="I45" s="16">
        <f t="shared" si="0"/>
        <v>0.26450000000000001</v>
      </c>
      <c r="J45">
        <f>(('Atomic Particles'!C1)*A45)+(('Atomic Particles'!C2)*Elements!F45)</f>
        <v>101.81415478598143</v>
      </c>
      <c r="K45" s="17">
        <f>(E45^(1/3))*Constants!B2</f>
        <v>5.8212618847547935E-15</v>
      </c>
      <c r="L45" s="15">
        <v>44</v>
      </c>
      <c r="M45" s="19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7</v>
      </c>
      <c r="W45">
        <v>1</v>
      </c>
      <c r="AG45">
        <v>36</v>
      </c>
      <c r="AH45" s="16">
        <f t="shared" si="1"/>
        <v>2165.1874803054229</v>
      </c>
      <c r="AI45" s="16">
        <f t="shared" si="2"/>
        <v>7.751141022500567E-2</v>
      </c>
      <c r="AN45">
        <f t="shared" si="3"/>
        <v>8</v>
      </c>
      <c r="AO45" s="16">
        <f t="shared" si="4"/>
        <v>2.0588580783966012E-42</v>
      </c>
      <c r="AQ45" s="16">
        <f t="shared" si="5"/>
        <v>2.1390505728282778E+17</v>
      </c>
      <c r="AR45" s="16">
        <f t="shared" si="6"/>
        <v>92.575000000000003</v>
      </c>
    </row>
    <row r="46" spans="1:44" x14ac:dyDescent="0.3">
      <c r="A46">
        <v>45</v>
      </c>
      <c r="B46" t="s">
        <v>156</v>
      </c>
      <c r="C46" t="s">
        <v>41</v>
      </c>
      <c r="D46" t="s">
        <v>242</v>
      </c>
      <c r="E46" s="18">
        <v>103</v>
      </c>
      <c r="F46">
        <f t="shared" si="7"/>
        <v>58</v>
      </c>
      <c r="G46">
        <v>102.91</v>
      </c>
      <c r="H46">
        <f>(G46-(A46*'Atomic Particles'!C1))/'Atomic Particles'!C2+A46</f>
        <v>102.08780707160723</v>
      </c>
      <c r="I46" s="16">
        <f t="shared" si="0"/>
        <v>0.2351111111111111</v>
      </c>
      <c r="J46">
        <f>(('Atomic Particles'!C1)*A46)+(('Atomic Particles'!C2)*Elements!F46)</f>
        <v>103.83009791862122</v>
      </c>
      <c r="K46" s="17">
        <f>(E46^(1/3))*Constants!B2</f>
        <v>5.8594351845669979E-15</v>
      </c>
      <c r="L46" s="15">
        <v>45</v>
      </c>
      <c r="M46" s="19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8</v>
      </c>
      <c r="W46">
        <v>1</v>
      </c>
      <c r="AG46">
        <v>36</v>
      </c>
      <c r="AH46" s="16">
        <f>(G46 * 1.6605E-24) / (AI46 * 1E-24)</f>
        <v>3138.9788324133033</v>
      </c>
      <c r="AI46" s="16">
        <f t="shared" si="2"/>
        <v>5.4438740789030049E-2</v>
      </c>
      <c r="AN46">
        <f t="shared" si="3"/>
        <v>9</v>
      </c>
      <c r="AO46" s="16">
        <f t="shared" si="4"/>
        <v>1.4460018328382159E-42</v>
      </c>
      <c r="AQ46" s="16">
        <f t="shared" si="5"/>
        <v>2.5812481330216486E+17</v>
      </c>
      <c r="AR46" s="16">
        <f t="shared" si="6"/>
        <v>82.288888888888891</v>
      </c>
    </row>
    <row r="47" spans="1:44" x14ac:dyDescent="0.3">
      <c r="A47">
        <v>46</v>
      </c>
      <c r="B47" t="s">
        <v>157</v>
      </c>
      <c r="C47" t="s">
        <v>46</v>
      </c>
      <c r="D47" t="s">
        <v>242</v>
      </c>
      <c r="E47" s="18">
        <v>105</v>
      </c>
      <c r="F47">
        <f t="shared" si="7"/>
        <v>59</v>
      </c>
      <c r="G47">
        <v>106.42</v>
      </c>
      <c r="H47">
        <f>(G47-(A47*'Atomic Particles'!C1))/'Atomic Particles'!C2+A47</f>
        <v>105.56902779979333</v>
      </c>
      <c r="I47" s="16">
        <f t="shared" si="0"/>
        <v>0.21160000000000001</v>
      </c>
      <c r="J47">
        <f>(('Atomic Particles'!C1)*A47)+(('Atomic Particles'!C2)*Elements!F47)</f>
        <v>105.84604105126101</v>
      </c>
      <c r="K47" s="17">
        <f>(E47^(1/3))*Constants!B2</f>
        <v>5.8971174753956653E-15</v>
      </c>
      <c r="L47" s="15">
        <v>46</v>
      </c>
      <c r="M47" s="19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AG47">
        <v>36</v>
      </c>
      <c r="AH47" s="16">
        <f t="shared" si="1"/>
        <v>4452.7317788356595</v>
      </c>
      <c r="AI47" s="16">
        <f t="shared" si="2"/>
        <v>3.9685842035202909E-2</v>
      </c>
      <c r="AN47">
        <f t="shared" si="3"/>
        <v>10</v>
      </c>
      <c r="AO47" s="16">
        <f t="shared" si="4"/>
        <v>1.0541353361390597E-42</v>
      </c>
      <c r="AQ47" s="16">
        <f t="shared" si="5"/>
        <v>3.0566002878610682E+17</v>
      </c>
      <c r="AR47" s="16">
        <f t="shared" si="6"/>
        <v>74.06</v>
      </c>
    </row>
    <row r="48" spans="1:44" x14ac:dyDescent="0.3">
      <c r="A48">
        <v>47</v>
      </c>
      <c r="B48" t="s">
        <v>158</v>
      </c>
      <c r="C48" t="s">
        <v>49</v>
      </c>
      <c r="D48" t="s">
        <v>242</v>
      </c>
      <c r="E48" s="18">
        <v>109</v>
      </c>
      <c r="F48">
        <f t="shared" si="7"/>
        <v>62</v>
      </c>
      <c r="G48">
        <v>107.87</v>
      </c>
      <c r="H48">
        <f>(G48-(A48*'Atomic Particles'!C1))/'Atomic Particles'!C2+A48</f>
        <v>107.0079469484856</v>
      </c>
      <c r="I48" s="16">
        <f t="shared" si="0"/>
        <v>0.19236363636363638</v>
      </c>
      <c r="J48">
        <f>(('Atomic Particles'!C1)*A48)+(('Atomic Particles'!C2)*Elements!F48)</f>
        <v>109.87931602233631</v>
      </c>
      <c r="K48" s="17">
        <f>(E48^(1/3))*Constants!B2</f>
        <v>5.9710702262937699E-15</v>
      </c>
      <c r="L48" s="15">
        <v>47</v>
      </c>
      <c r="M48" s="19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1</v>
      </c>
      <c r="AG48">
        <v>36</v>
      </c>
      <c r="AH48" s="16">
        <f t="shared" si="1"/>
        <v>6007.3372633374966</v>
      </c>
      <c r="AI48" s="16">
        <f t="shared" si="2"/>
        <v>2.9816560507289942E-2</v>
      </c>
      <c r="AN48">
        <f t="shared" si="3"/>
        <v>11</v>
      </c>
      <c r="AO48" s="16">
        <f t="shared" si="4"/>
        <v>7.9198748019463567E-43</v>
      </c>
      <c r="AQ48" s="16">
        <f t="shared" si="5"/>
        <v>3.5644923792137357E+17</v>
      </c>
      <c r="AR48" s="16">
        <f t="shared" si="6"/>
        <v>67.327272727272728</v>
      </c>
    </row>
    <row r="49" spans="1:44" x14ac:dyDescent="0.3">
      <c r="A49">
        <v>48</v>
      </c>
      <c r="B49" t="s">
        <v>159</v>
      </c>
      <c r="C49" t="s">
        <v>55</v>
      </c>
      <c r="D49" t="s">
        <v>242</v>
      </c>
      <c r="E49" s="18">
        <v>111</v>
      </c>
      <c r="F49">
        <f t="shared" si="7"/>
        <v>63</v>
      </c>
      <c r="G49">
        <v>112.41</v>
      </c>
      <c r="H49">
        <f>(G49-(A49*'Atomic Particles'!C1))/'Atomic Particles'!C2+A49</f>
        <v>111.5103184664186</v>
      </c>
      <c r="I49" s="16">
        <f t="shared" si="0"/>
        <v>0.17633333333333334</v>
      </c>
      <c r="J49">
        <f>(('Atomic Particles'!C1)*A49)+(('Atomic Particles'!C2)*Elements!F49)</f>
        <v>111.89525915497609</v>
      </c>
      <c r="K49" s="17">
        <f>(E49^(1/3))*Constants!B2</f>
        <v>6.007369417131666E-15</v>
      </c>
      <c r="L49" s="15">
        <v>48</v>
      </c>
      <c r="M49" s="19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AG49">
        <v>36</v>
      </c>
      <c r="AH49" s="16">
        <f t="shared" si="1"/>
        <v>8127.4062108570515</v>
      </c>
      <c r="AI49" s="16">
        <f t="shared" si="2"/>
        <v>2.2966343770372058E-2</v>
      </c>
      <c r="AN49">
        <f t="shared" si="3"/>
        <v>12</v>
      </c>
      <c r="AO49" s="16">
        <f t="shared" si="4"/>
        <v>6.100320232286227E-43</v>
      </c>
      <c r="AQ49" s="16">
        <f t="shared" si="5"/>
        <v>4.104424030030809E+17</v>
      </c>
      <c r="AR49" s="16">
        <f t="shared" si="6"/>
        <v>61.716666666666669</v>
      </c>
    </row>
    <row r="50" spans="1:44" x14ac:dyDescent="0.3">
      <c r="A50">
        <v>49</v>
      </c>
      <c r="B50" t="s">
        <v>160</v>
      </c>
      <c r="C50" t="s">
        <v>59</v>
      </c>
      <c r="D50" t="s">
        <v>241</v>
      </c>
      <c r="E50" s="18">
        <v>115</v>
      </c>
      <c r="F50">
        <f t="shared" si="7"/>
        <v>66</v>
      </c>
      <c r="G50">
        <v>114.82</v>
      </c>
      <c r="H50">
        <f>(G50-(A50*'Atomic Particles'!C1))/'Atomic Particles'!C2+A50</f>
        <v>113.90098980749633</v>
      </c>
      <c r="I50" s="16">
        <f t="shared" si="0"/>
        <v>0.16276923076923078</v>
      </c>
      <c r="J50">
        <f>(('Atomic Particles'!C1)*A50)+(('Atomic Particles'!C2)*Elements!F50)</f>
        <v>115.9285341260514</v>
      </c>
      <c r="K50" s="17">
        <f>(E50^(1/3))*Constants!B2</f>
        <v>6.0786801638678501E-15</v>
      </c>
      <c r="L50" s="15">
        <v>49</v>
      </c>
      <c r="M50" s="19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1</v>
      </c>
      <c r="AG50">
        <v>36</v>
      </c>
      <c r="AH50" s="16">
        <f t="shared" si="1"/>
        <v>10554.821182789561</v>
      </c>
      <c r="AI50" s="16">
        <f t="shared" si="2"/>
        <v>1.8063651358763273E-2</v>
      </c>
      <c r="AN50">
        <f t="shared" si="3"/>
        <v>13</v>
      </c>
      <c r="AO50" s="16">
        <f t="shared" si="4"/>
        <v>4.7980670739147005E-43</v>
      </c>
      <c r="AQ50" s="16">
        <f t="shared" si="5"/>
        <v>4.6759816943873594E+17</v>
      </c>
      <c r="AR50" s="16">
        <f t="shared" si="6"/>
        <v>56.969230769230769</v>
      </c>
    </row>
    <row r="51" spans="1:44" x14ac:dyDescent="0.3">
      <c r="A51">
        <v>50</v>
      </c>
      <c r="B51" t="s">
        <v>161</v>
      </c>
      <c r="C51" t="s">
        <v>66</v>
      </c>
      <c r="D51" t="s">
        <v>241</v>
      </c>
      <c r="E51" s="18">
        <v>117</v>
      </c>
      <c r="F51">
        <f t="shared" si="7"/>
        <v>67</v>
      </c>
      <c r="G51">
        <v>118.71</v>
      </c>
      <c r="H51">
        <f>(G51-(A51*'Atomic Particles'!C1))/'Atomic Particles'!C2+A51</f>
        <v>117.75894577850167</v>
      </c>
      <c r="I51" s="16">
        <f t="shared" si="0"/>
        <v>0.15114285714285713</v>
      </c>
      <c r="J51">
        <f>(('Atomic Particles'!C1)*A51)+(('Atomic Particles'!C2)*Elements!F51)</f>
        <v>117.94447725869118</v>
      </c>
      <c r="K51" s="17">
        <f>(E51^(1/3))*Constants!B2</f>
        <v>6.1137165581359352E-15</v>
      </c>
      <c r="L51" s="15">
        <v>50</v>
      </c>
      <c r="M51" s="19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2</v>
      </c>
      <c r="AG51">
        <v>36</v>
      </c>
      <c r="AH51" s="16">
        <f t="shared" si="1"/>
        <v>13629.335823092977</v>
      </c>
      <c r="AI51" s="16">
        <f t="shared" si="2"/>
        <v>1.4462770420992312E-2</v>
      </c>
      <c r="AN51">
        <f t="shared" si="3"/>
        <v>14</v>
      </c>
      <c r="AO51" s="16">
        <f t="shared" si="4"/>
        <v>3.8416010792239783E-43</v>
      </c>
      <c r="AQ51" s="16">
        <f t="shared" si="5"/>
        <v>5.2788192229398042E+17</v>
      </c>
      <c r="AR51" s="16">
        <f t="shared" si="6"/>
        <v>52.9</v>
      </c>
    </row>
    <row r="52" spans="1:44" x14ac:dyDescent="0.3">
      <c r="A52">
        <v>51</v>
      </c>
      <c r="B52" t="s">
        <v>162</v>
      </c>
      <c r="C52" t="s">
        <v>232</v>
      </c>
      <c r="D52" t="s">
        <v>239</v>
      </c>
      <c r="E52" s="18">
        <v>125</v>
      </c>
      <c r="F52">
        <f t="shared" si="7"/>
        <v>74</v>
      </c>
      <c r="G52">
        <v>121.76</v>
      </c>
      <c r="H52">
        <f>(G52-(A52*'Atomic Particles'!C1))/'Atomic Particles'!C2+A52</f>
        <v>120.78411858116974</v>
      </c>
      <c r="I52" s="16">
        <f t="shared" si="0"/>
        <v>0.14106666666666667</v>
      </c>
      <c r="J52">
        <f>(('Atomic Particles'!C1)*A52)+(('Atomic Particles'!C2)*Elements!F52)</f>
        <v>126.01241590663747</v>
      </c>
      <c r="K52" s="17">
        <f>(E52^(1/3))*Constants!B2</f>
        <v>6.250000000000001E-15</v>
      </c>
      <c r="L52" s="15">
        <v>51</v>
      </c>
      <c r="M52" s="19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3</v>
      </c>
      <c r="AG52">
        <v>36</v>
      </c>
      <c r="AH52" s="16">
        <f t="shared" si="1"/>
        <v>17194.18903584595</v>
      </c>
      <c r="AI52" s="16">
        <f t="shared" si="2"/>
        <v>1.1758768010430493E-2</v>
      </c>
      <c r="AN52">
        <f t="shared" si="3"/>
        <v>15</v>
      </c>
      <c r="AO52" s="16">
        <f t="shared" si="4"/>
        <v>3.1233639589305478E-43</v>
      </c>
      <c r="AQ52" s="16">
        <f t="shared" si="5"/>
        <v>5.9126437213203571E+17</v>
      </c>
      <c r="AR52" s="16">
        <f t="shared" si="6"/>
        <v>49.373333333333335</v>
      </c>
    </row>
    <row r="53" spans="1:44" x14ac:dyDescent="0.3">
      <c r="A53">
        <v>52</v>
      </c>
      <c r="B53" t="s">
        <v>163</v>
      </c>
      <c r="C53" t="s">
        <v>55</v>
      </c>
      <c r="D53" t="s">
        <v>239</v>
      </c>
      <c r="E53" s="18">
        <v>128</v>
      </c>
      <c r="F53">
        <f t="shared" si="7"/>
        <v>76</v>
      </c>
      <c r="G53">
        <v>127.6</v>
      </c>
      <c r="H53">
        <f>(G53-(A53*'Atomic Particles'!C1))/'Atomic Particles'!C2+A53</f>
        <v>126.57532119295804</v>
      </c>
      <c r="I53" s="16">
        <f t="shared" si="0"/>
        <v>0.13225000000000001</v>
      </c>
      <c r="J53">
        <f>(('Atomic Particles'!C1)*A53)+(('Atomic Particles'!C2)*Elements!F53)</f>
        <v>129.03702495849501</v>
      </c>
      <c r="K53" s="17">
        <f>(E53^(1/3))*Constants!B2</f>
        <v>6.2996052494743645E-15</v>
      </c>
      <c r="L53" s="15">
        <v>52</v>
      </c>
      <c r="M53" s="19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4</v>
      </c>
      <c r="AG53">
        <v>36</v>
      </c>
      <c r="AH53" s="16">
        <f t="shared" si="1"/>
        <v>21868.243592517814</v>
      </c>
      <c r="AI53" s="16">
        <f t="shared" si="2"/>
        <v>9.6889262781257087E-3</v>
      </c>
      <c r="AN53">
        <f t="shared" si="3"/>
        <v>16</v>
      </c>
      <c r="AO53" s="16">
        <f t="shared" si="4"/>
        <v>2.5735725979957515E-43</v>
      </c>
      <c r="AQ53" s="16">
        <f t="shared" si="5"/>
        <v>6.5772050206767258E+17</v>
      </c>
      <c r="AR53" s="16">
        <f t="shared" si="6"/>
        <v>46.287500000000001</v>
      </c>
    </row>
    <row r="54" spans="1:44" x14ac:dyDescent="0.3">
      <c r="A54">
        <v>53</v>
      </c>
      <c r="B54" t="s">
        <v>164</v>
      </c>
      <c r="C54" t="s">
        <v>78</v>
      </c>
      <c r="D54" t="s">
        <v>240</v>
      </c>
      <c r="E54" s="18">
        <v>127</v>
      </c>
      <c r="F54">
        <f t="shared" si="7"/>
        <v>74</v>
      </c>
      <c r="G54">
        <v>126.9</v>
      </c>
      <c r="H54">
        <f>(G54-(A54*'Atomic Particles'!C1))/'Atomic Particles'!C2+A54</f>
        <v>125.88271199412037</v>
      </c>
      <c r="I54" s="16">
        <f t="shared" si="0"/>
        <v>0.12447058823529412</v>
      </c>
      <c r="J54">
        <f>(('Atomic Particles'!C1)*A54)+(('Atomic Particles'!C2)*Elements!F54)</f>
        <v>128.02697033348153</v>
      </c>
      <c r="K54" s="17">
        <f>(E54^(1/3))*Constants!B2</f>
        <v>6.2831571191418486E-15</v>
      </c>
      <c r="L54" s="15">
        <v>53</v>
      </c>
      <c r="M54" s="19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5</v>
      </c>
      <c r="AG54">
        <v>36</v>
      </c>
      <c r="AH54" s="16">
        <f t="shared" si="1"/>
        <v>26086.25088341803</v>
      </c>
      <c r="AI54" s="16">
        <f t="shared" si="2"/>
        <v>8.0777207480567693E-3</v>
      </c>
      <c r="AN54">
        <f t="shared" si="3"/>
        <v>17</v>
      </c>
      <c r="AO54" s="16">
        <f t="shared" si="4"/>
        <v>2.1456041850988394E-43</v>
      </c>
      <c r="AQ54" s="16">
        <f t="shared" si="5"/>
        <v>7.272287682651113E+17</v>
      </c>
      <c r="AR54" s="16">
        <f t="shared" si="6"/>
        <v>43.564705882352946</v>
      </c>
    </row>
    <row r="55" spans="1:44" x14ac:dyDescent="0.3">
      <c r="A55">
        <v>54</v>
      </c>
      <c r="B55" t="s">
        <v>165</v>
      </c>
      <c r="C55" t="s">
        <v>6</v>
      </c>
      <c r="D55" t="s">
        <v>236</v>
      </c>
      <c r="E55" s="18">
        <v>129</v>
      </c>
      <c r="F55">
        <f t="shared" si="7"/>
        <v>75</v>
      </c>
      <c r="G55">
        <v>131.29</v>
      </c>
      <c r="H55">
        <f>(G55-(A55*'Atomic Particles'!C1))/'Atomic Particles'!C2+A55</f>
        <v>130.23637223199313</v>
      </c>
      <c r="I55" s="16">
        <f>0.529 * (M55^2 / (A55 - AG55))</f>
        <v>0.11755555555555555</v>
      </c>
      <c r="J55">
        <f>(('Atomic Particles'!C1)*A55)+(('Atomic Particles'!C55)*Elements!F3)</f>
        <v>54.392969524789883</v>
      </c>
      <c r="K55" s="17">
        <f>(E55^(1/3))*Constants!B2</f>
        <v>6.3159679340107001E-15</v>
      </c>
      <c r="L55" s="15">
        <v>54</v>
      </c>
      <c r="M55" s="19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G55">
        <v>36</v>
      </c>
      <c r="AH55" s="16">
        <f t="shared" si="1"/>
        <v>32037.044478285308</v>
      </c>
      <c r="AI55" s="16">
        <f t="shared" si="2"/>
        <v>6.8048425986287561E-3</v>
      </c>
      <c r="AN55">
        <f t="shared" si="3"/>
        <v>18</v>
      </c>
      <c r="AO55" s="16">
        <f t="shared" si="4"/>
        <v>1.8075022910477699E-43</v>
      </c>
      <c r="AQ55" s="16">
        <f t="shared" si="5"/>
        <v>7.9977048252974656E+17</v>
      </c>
      <c r="AR55" s="16">
        <f t="shared" si="6"/>
        <v>41.144444444444446</v>
      </c>
    </row>
    <row r="56" spans="1:44" x14ac:dyDescent="0.3">
      <c r="A56">
        <v>55</v>
      </c>
      <c r="B56" t="s">
        <v>166</v>
      </c>
      <c r="C56" t="s">
        <v>12</v>
      </c>
      <c r="D56" t="s">
        <v>237</v>
      </c>
      <c r="E56" s="18">
        <v>133</v>
      </c>
      <c r="F56">
        <f t="shared" si="7"/>
        <v>78</v>
      </c>
      <c r="G56">
        <v>32.909999999999997</v>
      </c>
      <c r="H56">
        <f>(G56-(A56*'Atomic Particles'!C1))/'Atomic Particles'!C2+A56</f>
        <v>32.702977457934033</v>
      </c>
      <c r="I56" s="16">
        <f t="shared" si="0"/>
        <v>2.1160000000000001</v>
      </c>
      <c r="J56">
        <f>(('Atomic Particles'!C1)*A56)+(('Atomic Particles'!C56)*Elements!F3)</f>
        <v>55.400246738211919</v>
      </c>
      <c r="K56" s="17">
        <f>(E56^(1/3))*Constants!B2</f>
        <v>6.3805859025018287E-15</v>
      </c>
      <c r="L56" s="15">
        <v>55</v>
      </c>
      <c r="M56" s="19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1</v>
      </c>
      <c r="AG56">
        <v>54</v>
      </c>
      <c r="AH56" s="16">
        <f t="shared" si="1"/>
        <v>1.3769911937744932</v>
      </c>
      <c r="AI56" s="16">
        <f t="shared" si="2"/>
        <v>39.685842035202903</v>
      </c>
      <c r="AN56">
        <f t="shared" si="3"/>
        <v>1</v>
      </c>
      <c r="AO56" s="16">
        <f t="shared" si="4"/>
        <v>1.0541353361390598E-39</v>
      </c>
      <c r="AQ56" s="16">
        <f t="shared" si="5"/>
        <v>1.0569174750664434E+16</v>
      </c>
      <c r="AR56" s="16">
        <f t="shared" si="6"/>
        <v>740.6</v>
      </c>
    </row>
    <row r="57" spans="1:44" x14ac:dyDescent="0.3">
      <c r="A57">
        <v>56</v>
      </c>
      <c r="B57" t="s">
        <v>167</v>
      </c>
      <c r="D57" t="s">
        <v>238</v>
      </c>
      <c r="E57" s="18">
        <v>135</v>
      </c>
      <c r="F57">
        <f t="shared" si="7"/>
        <v>79</v>
      </c>
      <c r="G57">
        <v>137.33000000000001</v>
      </c>
      <c r="H57">
        <f>(G57-(A57*'Atomic Particles'!C1))/'Atomic Particles'!C2+A57</f>
        <v>136.22723332530518</v>
      </c>
      <c r="I57" s="16">
        <f t="shared" si="0"/>
        <v>1.0580000000000001</v>
      </c>
      <c r="J57">
        <f>(('Atomic Particles'!C1)*A57)+(('Atomic Particles'!C57)*Elements!F3)</f>
        <v>56.407523951633955</v>
      </c>
      <c r="K57" s="17">
        <f>(E57^(1/3))*Constants!B2</f>
        <v>6.4124098000376141E-15</v>
      </c>
      <c r="L57" s="15">
        <v>56</v>
      </c>
      <c r="M57" s="19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AA57">
        <v>2</v>
      </c>
      <c r="AG57">
        <v>54</v>
      </c>
      <c r="AH57" s="16">
        <f t="shared" si="1"/>
        <v>45.968325892689442</v>
      </c>
      <c r="AI57" s="16">
        <f t="shared" si="2"/>
        <v>4.9607302544003629</v>
      </c>
      <c r="AN57">
        <f t="shared" si="3"/>
        <v>2</v>
      </c>
      <c r="AO57" s="16">
        <f t="shared" si="4"/>
        <v>1.3176691701738247E-40</v>
      </c>
      <c r="AQ57" s="16">
        <f>(1 / (2 * PI())) * SQRT((A57 * (1.602E-19^2)) / ((AI57 * 1E-30) * 9.109E-31 * 0.000000000008854))</f>
        <v>3.0164681273941736E+16</v>
      </c>
      <c r="AR57" s="16">
        <f t="shared" si="6"/>
        <v>370.3</v>
      </c>
    </row>
    <row r="58" spans="1:44" x14ac:dyDescent="0.3">
      <c r="A58">
        <v>57</v>
      </c>
      <c r="B58" t="s">
        <v>168</v>
      </c>
      <c r="C58" t="s">
        <v>83</v>
      </c>
      <c r="D58" t="s">
        <v>243</v>
      </c>
      <c r="E58" s="18">
        <v>138</v>
      </c>
      <c r="F58">
        <f t="shared" si="7"/>
        <v>81</v>
      </c>
      <c r="G58">
        <v>138.91</v>
      </c>
      <c r="H58">
        <f>(G58-(A58*'Atomic Particles'!C1))/'Atomic Particles'!C2+A58</f>
        <v>137.79503558338297</v>
      </c>
      <c r="I58" s="16">
        <f t="shared" si="0"/>
        <v>0.70533333333333337</v>
      </c>
      <c r="J58">
        <f>(('Atomic Particles'!C1)*A58)+(('Atomic Particles'!C58)*Elements!F3)</f>
        <v>57.414801165055991</v>
      </c>
      <c r="K58" s="17">
        <f>(E58^(1/3))*Constants!B2</f>
        <v>6.4595615654545291E-15</v>
      </c>
      <c r="L58" s="15">
        <v>57</v>
      </c>
      <c r="M58" s="19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W58">
        <v>2</v>
      </c>
      <c r="X58">
        <v>6</v>
      </c>
      <c r="Y58">
        <v>1</v>
      </c>
      <c r="AA58">
        <v>2</v>
      </c>
      <c r="AG58">
        <v>54</v>
      </c>
      <c r="AH58" s="16">
        <f t="shared" si="1"/>
        <v>156.92804198221816</v>
      </c>
      <c r="AI58" s="16">
        <f t="shared" si="2"/>
        <v>1.4698460013038117</v>
      </c>
      <c r="AN58">
        <f t="shared" si="3"/>
        <v>3</v>
      </c>
      <c r="AO58" s="16">
        <f t="shared" si="4"/>
        <v>3.9042049486631853E-41</v>
      </c>
      <c r="AQ58" s="16">
        <f t="shared" si="5"/>
        <v>5.5908654901075776E+16</v>
      </c>
      <c r="AR58" s="16">
        <f t="shared" si="6"/>
        <v>246.86666666666667</v>
      </c>
    </row>
    <row r="59" spans="1:44" x14ac:dyDescent="0.3">
      <c r="A59">
        <v>58</v>
      </c>
      <c r="B59" t="s">
        <v>169</v>
      </c>
      <c r="C59" t="s">
        <v>85</v>
      </c>
      <c r="D59" t="s">
        <v>243</v>
      </c>
      <c r="E59" s="18">
        <v>138</v>
      </c>
      <c r="F59">
        <f t="shared" si="7"/>
        <v>80</v>
      </c>
      <c r="G59">
        <v>140.12</v>
      </c>
      <c r="H59">
        <f>(G59-(A59*'Atomic Particles'!C1))/'Atomic Particles'!C2+A59</f>
        <v>138.99601668397884</v>
      </c>
      <c r="I59" s="16">
        <f t="shared" si="0"/>
        <v>0.52900000000000003</v>
      </c>
      <c r="J59">
        <f>(('Atomic Particles'!C1)*A59)+(('Atomic Particles'!C59)*Elements!F3)</f>
        <v>58.422078378478027</v>
      </c>
      <c r="K59" s="17">
        <f>(E59^(1/3))*Constants!B2</f>
        <v>6.4595615654545291E-15</v>
      </c>
      <c r="L59" s="15">
        <v>58</v>
      </c>
      <c r="M59" s="19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1</v>
      </c>
      <c r="W59">
        <v>2</v>
      </c>
      <c r="X59">
        <v>6</v>
      </c>
      <c r="Y59">
        <v>1</v>
      </c>
      <c r="AA59">
        <v>2</v>
      </c>
      <c r="AG59">
        <v>54</v>
      </c>
      <c r="AH59" s="16">
        <f t="shared" si="1"/>
        <v>375.21775717373595</v>
      </c>
      <c r="AI59" s="16">
        <f t="shared" si="2"/>
        <v>0.62009128180004536</v>
      </c>
      <c r="AN59">
        <f t="shared" si="3"/>
        <v>4</v>
      </c>
      <c r="AO59" s="16">
        <f t="shared" si="4"/>
        <v>1.6470864627172809E-41</v>
      </c>
      <c r="AQ59" s="16">
        <f t="shared" si="5"/>
        <v>8.6828783730472768E+16</v>
      </c>
      <c r="AR59" s="16">
        <f t="shared" si="6"/>
        <v>185.15</v>
      </c>
    </row>
    <row r="60" spans="1:44" x14ac:dyDescent="0.3">
      <c r="A60">
        <v>59</v>
      </c>
      <c r="B60" t="s">
        <v>170</v>
      </c>
      <c r="C60" t="s">
        <v>86</v>
      </c>
      <c r="D60" t="s">
        <v>243</v>
      </c>
      <c r="E60" s="18">
        <v>141</v>
      </c>
      <c r="F60">
        <f t="shared" si="7"/>
        <v>82</v>
      </c>
      <c r="G60">
        <v>140.91</v>
      </c>
      <c r="H60">
        <f>(G60-(A60*'Atomic Particles'!C1))/'Atomic Particles'!C2+A60</f>
        <v>139.78060620040611</v>
      </c>
      <c r="I60" s="16">
        <f t="shared" si="0"/>
        <v>0.42320000000000002</v>
      </c>
      <c r="J60">
        <f>(('Atomic Particles'!C1)*A60)+(('Atomic Particles'!C2)*Elements!F60)</f>
        <v>142.13996096775577</v>
      </c>
      <c r="K60" s="17">
        <f>(E60^(1/3))*Constants!B2</f>
        <v>6.5060348292427508E-15</v>
      </c>
      <c r="L60" s="15" t="s">
        <v>494</v>
      </c>
      <c r="M60" s="19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3</v>
      </c>
      <c r="W60">
        <v>2</v>
      </c>
      <c r="X60">
        <v>6</v>
      </c>
      <c r="AA60">
        <v>2</v>
      </c>
      <c r="AG60">
        <v>54</v>
      </c>
      <c r="AH60" s="16">
        <f t="shared" si="1"/>
        <v>736.97899238363641</v>
      </c>
      <c r="AI60" s="16">
        <f t="shared" si="2"/>
        <v>0.31748673628162327</v>
      </c>
      <c r="AN60">
        <f t="shared" si="3"/>
        <v>5</v>
      </c>
      <c r="AO60" s="16">
        <f t="shared" si="4"/>
        <v>8.433082689112478E-42</v>
      </c>
      <c r="AQ60" s="16">
        <f t="shared" si="5"/>
        <v>1.2238853778489518E+17</v>
      </c>
      <c r="AR60" s="16">
        <f t="shared" si="6"/>
        <v>148.12</v>
      </c>
    </row>
    <row r="61" spans="1:44" x14ac:dyDescent="0.3">
      <c r="A61">
        <v>60</v>
      </c>
      <c r="B61" t="s">
        <v>468</v>
      </c>
      <c r="C61" t="s">
        <v>87</v>
      </c>
      <c r="D61" t="s">
        <v>243</v>
      </c>
      <c r="E61" s="18">
        <v>143</v>
      </c>
      <c r="F61">
        <f t="shared" si="7"/>
        <v>83</v>
      </c>
      <c r="G61">
        <v>144.24</v>
      </c>
      <c r="H61">
        <f>(G61-(A61*'Atomic Particles'!C1))/'Atomic Particles'!C2+A61</f>
        <v>143.08337339251995</v>
      </c>
      <c r="I61" s="16">
        <f t="shared" si="0"/>
        <v>0.35266666666666668</v>
      </c>
      <c r="J61">
        <f>(('Atomic Particles'!C1)*A61)+(('Atomic Particles'!C2)*Elements!F61)</f>
        <v>144.15590410039556</v>
      </c>
      <c r="K61" s="17">
        <f>(E61^(1/3))*Constants!B2</f>
        <v>6.5366519146949789E-15</v>
      </c>
      <c r="L61" s="15">
        <v>60</v>
      </c>
      <c r="M61" s="19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4</v>
      </c>
      <c r="W61">
        <v>2</v>
      </c>
      <c r="X61">
        <v>6</v>
      </c>
      <c r="AA61">
        <v>2</v>
      </c>
      <c r="AG61">
        <v>54</v>
      </c>
      <c r="AH61" s="16">
        <f t="shared" si="1"/>
        <v>1303.5951782025857</v>
      </c>
      <c r="AI61" s="16">
        <f t="shared" si="2"/>
        <v>0.18373075016297646</v>
      </c>
      <c r="AN61">
        <f t="shared" si="3"/>
        <v>6</v>
      </c>
      <c r="AO61" s="16">
        <f t="shared" si="4"/>
        <v>4.8802561858289816E-42</v>
      </c>
      <c r="AQ61" s="16">
        <f t="shared" si="5"/>
        <v>1.622416052253087E+17</v>
      </c>
      <c r="AR61" s="16">
        <f t="shared" si="6"/>
        <v>123.43333333333334</v>
      </c>
    </row>
    <row r="62" spans="1:44" x14ac:dyDescent="0.3">
      <c r="A62">
        <v>61</v>
      </c>
      <c r="B62" t="s">
        <v>173</v>
      </c>
      <c r="C62" t="s">
        <v>88</v>
      </c>
      <c r="D62" t="s">
        <v>243</v>
      </c>
      <c r="E62" s="18">
        <v>145</v>
      </c>
      <c r="F62">
        <f t="shared" si="7"/>
        <v>84</v>
      </c>
      <c r="G62">
        <v>145</v>
      </c>
      <c r="H62">
        <f>(G62-(A62*'Atomic Particles'!C1))/'Atomic Particles'!C2+A62</f>
        <v>143.83822065293515</v>
      </c>
      <c r="I62" s="16">
        <f t="shared" si="0"/>
        <v>0.30228571428571427</v>
      </c>
      <c r="J62">
        <f>(('Atomic Particles'!C1)*A62)+(('Atomic Particles'!C2)*Elements!F62)</f>
        <v>146.17184723303535</v>
      </c>
      <c r="K62" s="17">
        <f>(E62^(1/3))*Constants!B2</f>
        <v>6.5669848406161256E-15</v>
      </c>
      <c r="L62" s="15">
        <v>61</v>
      </c>
      <c r="M62" s="19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5</v>
      </c>
      <c r="W62">
        <v>2</v>
      </c>
      <c r="X62">
        <v>6</v>
      </c>
      <c r="AA62">
        <v>2</v>
      </c>
      <c r="AG62">
        <v>54</v>
      </c>
      <c r="AH62" s="16">
        <f t="shared" si="1"/>
        <v>2080.9680043261751</v>
      </c>
      <c r="AI62" s="16">
        <f t="shared" si="2"/>
        <v>0.1157021633679385</v>
      </c>
      <c r="AN62">
        <f t="shared" si="3"/>
        <v>7</v>
      </c>
      <c r="AO62" s="16">
        <f t="shared" si="4"/>
        <v>3.0732808633791827E-42</v>
      </c>
      <c r="AQ62" s="16">
        <f t="shared" si="5"/>
        <v>2.0614448062567709E+17</v>
      </c>
      <c r="AR62" s="16">
        <f t="shared" si="6"/>
        <v>105.8</v>
      </c>
    </row>
    <row r="63" spans="1:44" x14ac:dyDescent="0.3">
      <c r="A63">
        <v>62</v>
      </c>
      <c r="B63" t="s">
        <v>171</v>
      </c>
      <c r="C63" t="s">
        <v>89</v>
      </c>
      <c r="D63" t="s">
        <v>243</v>
      </c>
      <c r="E63" s="18">
        <v>147</v>
      </c>
      <c r="F63">
        <f t="shared" si="7"/>
        <v>85</v>
      </c>
      <c r="G63">
        <v>150.36000000000001</v>
      </c>
      <c r="H63">
        <f>(G63-(A63*'Atomic Particles'!C1))/'Atomic Particles'!C2+A63</f>
        <v>149.15354716853076</v>
      </c>
      <c r="I63" s="16">
        <f t="shared" si="0"/>
        <v>0.26450000000000001</v>
      </c>
      <c r="J63">
        <f>(('Atomic Particles'!C1)*A63)+(('Atomic Particles'!C2)*Elements!F63)</f>
        <v>148.18779036567514</v>
      </c>
      <c r="K63" s="17">
        <f>(E63^(1/3))*Constants!B2</f>
        <v>6.5970401098800959E-15</v>
      </c>
      <c r="L63" s="15">
        <v>62</v>
      </c>
      <c r="M63" s="19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6</v>
      </c>
      <c r="W63">
        <v>2</v>
      </c>
      <c r="X63">
        <v>6</v>
      </c>
      <c r="AA63">
        <v>2</v>
      </c>
      <c r="AG63">
        <v>54</v>
      </c>
      <c r="AH63" s="16">
        <f t="shared" si="1"/>
        <v>3221.110018192574</v>
      </c>
      <c r="AI63" s="16">
        <f t="shared" si="2"/>
        <v>7.751141022500567E-2</v>
      </c>
      <c r="AN63">
        <f t="shared" si="3"/>
        <v>8</v>
      </c>
      <c r="AO63" s="16">
        <f t="shared" si="4"/>
        <v>2.0588580783966012E-42</v>
      </c>
      <c r="AQ63" s="16">
        <f t="shared" si="5"/>
        <v>2.5391628715943024E+17</v>
      </c>
      <c r="AR63" s="16">
        <f t="shared" si="6"/>
        <v>92.575000000000003</v>
      </c>
    </row>
    <row r="64" spans="1:44" x14ac:dyDescent="0.3">
      <c r="A64">
        <v>63</v>
      </c>
      <c r="B64" t="s">
        <v>172</v>
      </c>
      <c r="C64" t="s">
        <v>90</v>
      </c>
      <c r="D64" t="s">
        <v>243</v>
      </c>
      <c r="E64" s="18">
        <v>153</v>
      </c>
      <c r="F64">
        <f t="shared" si="7"/>
        <v>90</v>
      </c>
      <c r="G64">
        <v>151.96</v>
      </c>
      <c r="H64">
        <f>(G64-(A64*'Atomic Particles'!C1))/'Atomic Particles'!C2+A64</f>
        <v>150.74117759728327</v>
      </c>
      <c r="I64" s="16">
        <f t="shared" si="0"/>
        <v>0.2351111111111111</v>
      </c>
      <c r="J64">
        <f>(('Atomic Particles'!C1)*A64)+(('Atomic Particles'!C2)*Elements!F64)</f>
        <v>154.23839717518595</v>
      </c>
      <c r="K64" s="17">
        <f>(E64^(1/3))*Constants!B2</f>
        <v>6.685601551549203E-15</v>
      </c>
      <c r="L64" s="15">
        <v>63</v>
      </c>
      <c r="M64" s="19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AA64">
        <v>2</v>
      </c>
      <c r="AG64">
        <v>54</v>
      </c>
      <c r="AH64" s="16">
        <f t="shared" si="1"/>
        <v>4635.1105176710289</v>
      </c>
      <c r="AI64" s="16">
        <f>(4/3) * PI() * (I64^3)</f>
        <v>5.4438740789030049E-2</v>
      </c>
      <c r="AN64">
        <f>A64-AG64</f>
        <v>9</v>
      </c>
      <c r="AO64" s="16">
        <f t="shared" si="4"/>
        <v>1.4460018328382159E-42</v>
      </c>
      <c r="AQ64" s="16">
        <f t="shared" si="5"/>
        <v>3.054173978986601E+17</v>
      </c>
      <c r="AR64" s="16">
        <f t="shared" si="6"/>
        <v>82.288888888888891</v>
      </c>
    </row>
    <row r="65" spans="1:44" x14ac:dyDescent="0.3">
      <c r="A65">
        <v>64</v>
      </c>
      <c r="B65" t="s">
        <v>469</v>
      </c>
      <c r="C65" t="s">
        <v>91</v>
      </c>
      <c r="D65" t="s">
        <v>243</v>
      </c>
      <c r="E65" s="18">
        <v>152</v>
      </c>
      <c r="F65">
        <f t="shared" si="7"/>
        <v>88</v>
      </c>
      <c r="G65">
        <v>157.25</v>
      </c>
      <c r="H65">
        <f>(G65-(A65*'Atomic Particles'!C1))/'Atomic Particles'!C2+A65</f>
        <v>155.98710551551738</v>
      </c>
      <c r="I65" s="16">
        <f t="shared" si="0"/>
        <v>0.21160000000000001</v>
      </c>
      <c r="J65">
        <f>(('Atomic Particles'!C1)*A65)+(('Atomic Particles'!C2)*Elements!F65)</f>
        <v>153.22834255017247</v>
      </c>
      <c r="K65" s="17">
        <f>(E65^(1/3))*Constants!B2</f>
        <v>6.6710041218048623E-15</v>
      </c>
      <c r="L65" s="15">
        <v>64</v>
      </c>
      <c r="M65" s="19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7</v>
      </c>
      <c r="W65">
        <v>2</v>
      </c>
      <c r="X65">
        <v>6</v>
      </c>
      <c r="Y65">
        <v>1</v>
      </c>
      <c r="AA65">
        <v>2</v>
      </c>
      <c r="AG65">
        <v>54</v>
      </c>
      <c r="AH65" s="16">
        <f t="shared" si="1"/>
        <v>6579.5158073849598</v>
      </c>
      <c r="AI65" s="16">
        <f t="shared" si="2"/>
        <v>3.9685842035202909E-2</v>
      </c>
      <c r="AN65">
        <f t="shared" si="3"/>
        <v>10</v>
      </c>
      <c r="AO65" s="16">
        <f t="shared" si="4"/>
        <v>1.0541353361390597E-42</v>
      </c>
      <c r="AQ65" s="16">
        <f t="shared" si="5"/>
        <v>3.6053690050068602E+17</v>
      </c>
      <c r="AR65" s="16">
        <f t="shared" si="6"/>
        <v>74.06</v>
      </c>
    </row>
    <row r="66" spans="1:44" x14ac:dyDescent="0.3">
      <c r="A66">
        <v>65</v>
      </c>
      <c r="B66" t="s">
        <v>470</v>
      </c>
      <c r="C66" t="s">
        <v>92</v>
      </c>
      <c r="D66" t="s">
        <v>243</v>
      </c>
      <c r="E66" s="18">
        <v>159</v>
      </c>
      <c r="F66">
        <f>E66-A66</f>
        <v>94</v>
      </c>
      <c r="G66">
        <v>158.93</v>
      </c>
      <c r="H66">
        <f>(G66-(A66*'Atomic Particles'!C1))/'Atomic Particles'!C2+A66</f>
        <v>157.65404862696869</v>
      </c>
      <c r="I66" s="16">
        <f t="shared" si="0"/>
        <v>0.19236363636363638</v>
      </c>
      <c r="J66">
        <f>(('Atomic Particles'!C1)*A66)+(('Atomic Particles'!C2)*Elements!F66)</f>
        <v>160.287615278901</v>
      </c>
      <c r="K66" s="17">
        <f>(E66^(1/3))*Constants!B2</f>
        <v>6.7718768937214747E-15</v>
      </c>
      <c r="L66" s="15">
        <v>65</v>
      </c>
      <c r="M66" s="19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9</v>
      </c>
      <c r="W66">
        <v>2</v>
      </c>
      <c r="X66">
        <v>6</v>
      </c>
      <c r="AA66">
        <v>2</v>
      </c>
      <c r="AG66">
        <v>54</v>
      </c>
      <c r="AH66" s="16">
        <f t="shared" si="1"/>
        <v>8850.8956267936246</v>
      </c>
      <c r="AI66" s="16">
        <f t="shared" si="2"/>
        <v>2.9816560507289942E-2</v>
      </c>
      <c r="AN66">
        <f t="shared" si="3"/>
        <v>11</v>
      </c>
      <c r="AO66" s="16">
        <f t="shared" si="4"/>
        <v>7.9198748019463567E-43</v>
      </c>
      <c r="AQ66" s="16">
        <f t="shared" si="5"/>
        <v>4.1918471653145933E+17</v>
      </c>
      <c r="AR66" s="16">
        <f>I66 * 350</f>
        <v>67.327272727272728</v>
      </c>
    </row>
    <row r="67" spans="1:44" x14ac:dyDescent="0.3">
      <c r="A67">
        <v>66</v>
      </c>
      <c r="B67" t="s">
        <v>174</v>
      </c>
      <c r="C67" t="s">
        <v>93</v>
      </c>
      <c r="D67" t="s">
        <v>243</v>
      </c>
      <c r="E67" s="18">
        <v>161</v>
      </c>
      <c r="F67">
        <f>E67-A67</f>
        <v>95</v>
      </c>
      <c r="G67">
        <v>162.5</v>
      </c>
      <c r="H67">
        <f>(G67-(A67*'Atomic Particles'!C1))/'Atomic Particles'!C2+A67</f>
        <v>161.19475386717886</v>
      </c>
      <c r="I67" s="16">
        <f t="shared" ref="I67:I88" si="8">0.529 * (M67^2 / (A67 - AG67))</f>
        <v>0.17633333333333334</v>
      </c>
      <c r="J67">
        <f>(('Atomic Particles'!C1)*A67)+(('Atomic Particles'!C2)*Elements!F67)</f>
        <v>162.30355841154082</v>
      </c>
      <c r="K67" s="17">
        <f>(E67^(1/3))*Constants!B2</f>
        <v>6.800152281768497E-15</v>
      </c>
      <c r="L67" s="15">
        <v>66</v>
      </c>
      <c r="M67" s="19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10</v>
      </c>
      <c r="W67">
        <v>2</v>
      </c>
      <c r="X67">
        <v>6</v>
      </c>
      <c r="AA67">
        <v>2</v>
      </c>
      <c r="AG67">
        <v>54</v>
      </c>
      <c r="AH67" s="16">
        <f t="shared" ref="AH67:AH73" si="9">(G67 * 1.6605E-24) / (AI67 * 1E-24)</f>
        <v>11748.985937765956</v>
      </c>
      <c r="AI67" s="16">
        <f t="shared" ref="AI67:AI101" si="10">(4/3) * PI() * (I67^3)</f>
        <v>2.2966343770372058E-2</v>
      </c>
      <c r="AN67">
        <f t="shared" ref="AN67:AN110" si="11">A67-AG67</f>
        <v>12</v>
      </c>
      <c r="AO67" s="16">
        <f t="shared" ref="AO67:AO119" si="12">4 * PI() * 0.000000000008854 * (I67 * 0.0000000001)^3</f>
        <v>6.100320232286227E-43</v>
      </c>
      <c r="AQ67" s="16">
        <f t="shared" ref="AQ67:AQ83" si="13">(1 / (2 * PI())) * SQRT((A67 * (1.602E-19^2)) / ((AI67 * 1E-30) * 9.109E-31 * 0.000000000008854))</f>
        <v>4.8128637888636256E+17</v>
      </c>
      <c r="AR67" s="16">
        <f t="shared" si="6"/>
        <v>61.716666666666669</v>
      </c>
    </row>
    <row r="68" spans="1:44" x14ac:dyDescent="0.3">
      <c r="A68">
        <v>67</v>
      </c>
      <c r="B68" t="s">
        <v>175</v>
      </c>
      <c r="C68" t="s">
        <v>94</v>
      </c>
      <c r="D68" t="s">
        <v>243</v>
      </c>
      <c r="E68" s="18">
        <v>165</v>
      </c>
      <c r="F68">
        <f t="shared" ref="F68:F119" si="14">E68-A68</f>
        <v>98</v>
      </c>
      <c r="G68">
        <v>164.93</v>
      </c>
      <c r="H68">
        <f>(G68-(A68*'Atomic Particles'!C1))/'Atomic Particles'!C2+A68</f>
        <v>163.60525337893131</v>
      </c>
      <c r="I68" s="16">
        <f t="shared" si="8"/>
        <v>0.16276923076923078</v>
      </c>
      <c r="J68">
        <f>(('Atomic Particles'!C1)*A68)+(('Atomic Particles'!C2)*Elements!F68)</f>
        <v>166.33683338261611</v>
      </c>
      <c r="K68" s="17">
        <f>(E68^(1/3))*Constants!B2</f>
        <v>6.8560081905407723E-15</v>
      </c>
      <c r="L68" s="15">
        <v>67</v>
      </c>
      <c r="M68" s="19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11</v>
      </c>
      <c r="W68">
        <v>2</v>
      </c>
      <c r="X68">
        <v>6</v>
      </c>
      <c r="AA68">
        <v>2</v>
      </c>
      <c r="AG68">
        <v>54</v>
      </c>
      <c r="AH68" s="16">
        <f t="shared" si="9"/>
        <v>15161.179739396293</v>
      </c>
      <c r="AI68" s="16">
        <f t="shared" si="10"/>
        <v>1.8063651358763273E-2</v>
      </c>
      <c r="AN68">
        <f t="shared" si="11"/>
        <v>13</v>
      </c>
      <c r="AO68" s="16">
        <f t="shared" si="12"/>
        <v>4.7980670739147005E-43</v>
      </c>
      <c r="AQ68" s="16">
        <f t="shared" si="13"/>
        <v>5.4677942461969152E+17</v>
      </c>
      <c r="AR68" s="16">
        <f t="shared" ref="AR68:AR119" si="15">I68 * 350</f>
        <v>56.969230769230769</v>
      </c>
    </row>
    <row r="69" spans="1:44" x14ac:dyDescent="0.3">
      <c r="A69">
        <v>68</v>
      </c>
      <c r="B69" t="s">
        <v>176</v>
      </c>
      <c r="C69" t="s">
        <v>95</v>
      </c>
      <c r="D69" t="s">
        <v>243</v>
      </c>
      <c r="E69" s="18">
        <v>166</v>
      </c>
      <c r="F69">
        <f t="shared" si="14"/>
        <v>98</v>
      </c>
      <c r="G69">
        <v>167.26</v>
      </c>
      <c r="H69">
        <f>(G69-(A69*'Atomic Particles'!C1))/'Atomic Particles'!C2+A69</f>
        <v>165.91661203731024</v>
      </c>
      <c r="I69" s="16">
        <f t="shared" si="8"/>
        <v>0.15114285714285713</v>
      </c>
      <c r="J69">
        <f>(('Atomic Particles'!C1)*A69)+(('Atomic Particles'!C2)*Elements!F69)</f>
        <v>167.34411059603815</v>
      </c>
      <c r="K69" s="17">
        <f>(E69^(1/3))*Constants!B2</f>
        <v>6.8698308251187667E-15</v>
      </c>
      <c r="L69" s="15">
        <v>68</v>
      </c>
      <c r="M69" s="19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12</v>
      </c>
      <c r="W69">
        <v>2</v>
      </c>
      <c r="X69">
        <v>6</v>
      </c>
      <c r="AA69">
        <v>2</v>
      </c>
      <c r="AG69">
        <v>54</v>
      </c>
      <c r="AH69" s="16">
        <f t="shared" si="9"/>
        <v>19203.459773991504</v>
      </c>
      <c r="AI69" s="16">
        <f t="shared" si="10"/>
        <v>1.4462770420992312E-2</v>
      </c>
      <c r="AN69">
        <f t="shared" si="11"/>
        <v>14</v>
      </c>
      <c r="AO69" s="16">
        <f t="shared" si="12"/>
        <v>3.8416010792239783E-43</v>
      </c>
      <c r="AQ69" s="16">
        <f t="shared" si="13"/>
        <v>6.1561081901093286E+17</v>
      </c>
      <c r="AR69" s="16">
        <f t="shared" si="15"/>
        <v>52.9</v>
      </c>
    </row>
    <row r="70" spans="1:44" x14ac:dyDescent="0.3">
      <c r="A70">
        <v>69</v>
      </c>
      <c r="B70" t="s">
        <v>177</v>
      </c>
      <c r="C70" t="s">
        <v>96</v>
      </c>
      <c r="D70" t="s">
        <v>243</v>
      </c>
      <c r="E70" s="18">
        <v>169</v>
      </c>
      <c r="F70">
        <f t="shared" si="14"/>
        <v>100</v>
      </c>
      <c r="G70">
        <v>168.93</v>
      </c>
      <c r="H70">
        <f>(G70-(A70*'Atomic Particles'!C1))/'Atomic Particles'!C2+A70</f>
        <v>167.57364106342422</v>
      </c>
      <c r="I70" s="16">
        <f t="shared" si="8"/>
        <v>0.14106666666666667</v>
      </c>
      <c r="J70">
        <f>(('Atomic Particles'!C1)*A70)+(('Atomic Particles'!C2)*Elements!F70)</f>
        <v>170.36871964789566</v>
      </c>
      <c r="K70" s="17">
        <f>(E70^(1/3))*Constants!B2</f>
        <v>6.9109685170985891E-15</v>
      </c>
      <c r="L70" s="15">
        <v>69</v>
      </c>
      <c r="M70" s="19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13</v>
      </c>
      <c r="W70">
        <v>2</v>
      </c>
      <c r="X70">
        <v>6</v>
      </c>
      <c r="AA70">
        <v>2</v>
      </c>
      <c r="AG70">
        <v>54</v>
      </c>
      <c r="AH70" s="16">
        <f t="shared" si="9"/>
        <v>23855.242721956769</v>
      </c>
      <c r="AI70" s="16">
        <f t="shared" si="10"/>
        <v>1.1758768010430493E-2</v>
      </c>
      <c r="AN70">
        <f t="shared" si="11"/>
        <v>15</v>
      </c>
      <c r="AO70" s="16">
        <f t="shared" si="12"/>
        <v>3.1233639589305478E-43</v>
      </c>
      <c r="AQ70" s="16">
        <f t="shared" si="13"/>
        <v>6.8773506476874022E+17</v>
      </c>
      <c r="AR70" s="16">
        <f t="shared" si="15"/>
        <v>49.373333333333335</v>
      </c>
    </row>
    <row r="71" spans="1:44" x14ac:dyDescent="0.3">
      <c r="A71">
        <v>70</v>
      </c>
      <c r="B71" t="s">
        <v>178</v>
      </c>
      <c r="C71" t="s">
        <v>97</v>
      </c>
      <c r="D71" t="s">
        <v>243</v>
      </c>
      <c r="E71" s="18">
        <v>171</v>
      </c>
      <c r="F71">
        <f t="shared" si="14"/>
        <v>101</v>
      </c>
      <c r="G71">
        <v>173.05</v>
      </c>
      <c r="H71">
        <f>(G71-(A71*'Atomic Particles'!C1))/'Atomic Particles'!C2+A71</f>
        <v>171.65962099718857</v>
      </c>
      <c r="I71" s="16">
        <f t="shared" si="8"/>
        <v>0.13225000000000001</v>
      </c>
      <c r="J71">
        <f>(('Atomic Particles'!C1)*A71)+(('Atomic Particles'!C2)*Elements!F71)</f>
        <v>172.38466278053548</v>
      </c>
      <c r="K71" s="17">
        <f>(E71^(1/3))*Constants!B2</f>
        <v>6.9381238786394336E-15</v>
      </c>
      <c r="L71" s="15">
        <v>70</v>
      </c>
      <c r="M71" s="19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AA71">
        <v>2</v>
      </c>
      <c r="AG71">
        <v>54</v>
      </c>
      <c r="AH71" s="16">
        <f t="shared" si="9"/>
        <v>29657.520013206962</v>
      </c>
      <c r="AI71" s="16">
        <f t="shared" si="10"/>
        <v>9.6889262781257087E-3</v>
      </c>
      <c r="AN71">
        <f t="shared" si="11"/>
        <v>16</v>
      </c>
      <c r="AO71" s="16">
        <f t="shared" si="12"/>
        <v>2.5735725979957515E-43</v>
      </c>
      <c r="AQ71" s="16">
        <f t="shared" si="13"/>
        <v>7.6311278174948314E+17</v>
      </c>
      <c r="AR71" s="16">
        <f t="shared" si="15"/>
        <v>46.287500000000001</v>
      </c>
    </row>
    <row r="72" spans="1:44" x14ac:dyDescent="0.3">
      <c r="A72">
        <v>71</v>
      </c>
      <c r="B72" t="s">
        <v>179</v>
      </c>
      <c r="C72" t="s">
        <v>98</v>
      </c>
      <c r="D72" t="s">
        <v>243</v>
      </c>
      <c r="E72" s="18">
        <v>175</v>
      </c>
      <c r="F72">
        <f t="shared" si="14"/>
        <v>104</v>
      </c>
      <c r="G72">
        <v>174.97</v>
      </c>
      <c r="H72">
        <f>(G72-(A72*'Atomic Particles'!C1))/'Atomic Particles'!C2+A72</f>
        <v>173.56450215673624</v>
      </c>
      <c r="I72" s="16">
        <f t="shared" si="8"/>
        <v>0.12447058823529412</v>
      </c>
      <c r="J72">
        <f>(('Atomic Particles'!C1)*A72)+(('Atomic Particles'!C2)*Elements!F72)</f>
        <v>176.41793775161076</v>
      </c>
      <c r="K72" s="17">
        <f>(E72^(1/3))*Constants!B2</f>
        <v>6.9918058880087307E-15</v>
      </c>
      <c r="L72" s="15">
        <v>71</v>
      </c>
      <c r="M72" s="19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1</v>
      </c>
      <c r="AA72">
        <v>2</v>
      </c>
      <c r="AG72">
        <v>54</v>
      </c>
      <c r="AH72" s="16">
        <f t="shared" si="9"/>
        <v>35967.780276372359</v>
      </c>
      <c r="AI72" s="16">
        <f t="shared" si="10"/>
        <v>8.0777207480567693E-3</v>
      </c>
      <c r="AN72">
        <f t="shared" si="11"/>
        <v>17</v>
      </c>
      <c r="AO72" s="16">
        <f t="shared" si="12"/>
        <v>2.1456041850988394E-43</v>
      </c>
      <c r="AQ72" s="16">
        <f t="shared" si="13"/>
        <v>8.4170961894230221E+17</v>
      </c>
      <c r="AR72" s="16">
        <f t="shared" si="15"/>
        <v>43.564705882352946</v>
      </c>
    </row>
    <row r="73" spans="1:44" x14ac:dyDescent="0.3">
      <c r="A73">
        <v>72</v>
      </c>
      <c r="B73" t="s">
        <v>181</v>
      </c>
      <c r="C73" t="s">
        <v>18</v>
      </c>
      <c r="D73" t="s">
        <v>242</v>
      </c>
      <c r="E73" s="18">
        <v>177</v>
      </c>
      <c r="F73">
        <f t="shared" si="14"/>
        <v>105</v>
      </c>
      <c r="G73">
        <v>178.49</v>
      </c>
      <c r="H73">
        <f>(G73-(A73*'Atomic Particles'!C1))/'Atomic Particles'!C2+A73</f>
        <v>177.05563697025966</v>
      </c>
      <c r="I73" s="16">
        <f t="shared" si="8"/>
        <v>0.11755555555555555</v>
      </c>
      <c r="J73">
        <f>(('Atomic Particles'!C1)*A73)+(('Atomic Particles'!C2)*Elements!F73)</f>
        <v>178.43388088425056</v>
      </c>
      <c r="K73" s="17">
        <f>(E73^(1/3))*Constants!B2</f>
        <v>7.0183405100018628E-15</v>
      </c>
      <c r="L73" s="15">
        <v>72</v>
      </c>
      <c r="M73" s="19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2</v>
      </c>
      <c r="AA73">
        <v>2</v>
      </c>
      <c r="AG73">
        <v>54</v>
      </c>
      <c r="AH73" s="16">
        <f t="shared" si="9"/>
        <v>43554.665769892177</v>
      </c>
      <c r="AI73" s="16">
        <f t="shared" si="10"/>
        <v>6.8048425986287561E-3</v>
      </c>
      <c r="AN73">
        <f t="shared" si="11"/>
        <v>18</v>
      </c>
      <c r="AO73" s="16">
        <f t="shared" si="12"/>
        <v>1.8075022910477699E-43</v>
      </c>
      <c r="AQ73" s="16">
        <f t="shared" si="13"/>
        <v>9.234954067569321E+17</v>
      </c>
      <c r="AR73" s="16">
        <f t="shared" si="15"/>
        <v>41.144444444444446</v>
      </c>
    </row>
    <row r="74" spans="1:44" x14ac:dyDescent="0.3">
      <c r="A74">
        <v>73</v>
      </c>
      <c r="B74" t="s">
        <v>182</v>
      </c>
      <c r="C74" t="s">
        <v>21</v>
      </c>
      <c r="D74" t="s">
        <v>242</v>
      </c>
      <c r="E74" s="18">
        <v>180</v>
      </c>
      <c r="F74">
        <f t="shared" si="14"/>
        <v>107</v>
      </c>
      <c r="G74">
        <v>180.95</v>
      </c>
      <c r="H74">
        <f>(G74-(A74*'Atomic Particles'!C1))/'Atomic Particles'!C2+A74</f>
        <v>179.49587873802415</v>
      </c>
      <c r="I74" s="16">
        <f t="shared" si="8"/>
        <v>0.11136842105263157</v>
      </c>
      <c r="J74">
        <f>(('Atomic Particles'!C1)*A74)+(('Atomic Particles'!C2)*Elements!F74)</f>
        <v>181.45848993610809</v>
      </c>
      <c r="K74" s="17">
        <f>(E74^(1/3))*Constants!B2</f>
        <v>7.0577702166077138E-15</v>
      </c>
      <c r="L74" s="15">
        <v>73</v>
      </c>
      <c r="M74" s="19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3</v>
      </c>
      <c r="AA74">
        <v>2</v>
      </c>
      <c r="AG74">
        <v>54</v>
      </c>
      <c r="AH74" s="16">
        <f>(G74 * 1.6605E-24) / (AI74 * 1E-24)</f>
        <v>51930.519936981444</v>
      </c>
      <c r="AI74" s="16">
        <f t="shared" si="10"/>
        <v>5.7859516015749957E-3</v>
      </c>
      <c r="AN74">
        <f t="shared" si="11"/>
        <v>19</v>
      </c>
      <c r="AO74" s="16">
        <f t="shared" si="12"/>
        <v>1.5368644644103503E-43</v>
      </c>
      <c r="AQ74" s="16">
        <f t="shared" si="13"/>
        <v>1.0084434867265202E+18</v>
      </c>
      <c r="AR74" s="16">
        <f t="shared" si="15"/>
        <v>38.978947368421053</v>
      </c>
    </row>
    <row r="75" spans="1:44" x14ac:dyDescent="0.3">
      <c r="A75">
        <v>74</v>
      </c>
      <c r="B75" t="s">
        <v>183</v>
      </c>
      <c r="C75" t="s">
        <v>26</v>
      </c>
      <c r="D75" t="s">
        <v>242</v>
      </c>
      <c r="E75" s="18">
        <v>180</v>
      </c>
      <c r="F75">
        <f t="shared" si="14"/>
        <v>106</v>
      </c>
      <c r="G75">
        <v>183.84</v>
      </c>
      <c r="H75">
        <f>(G75-(A75*'Atomic Particles'!C1))/'Atomic Particles'!C2+A75</f>
        <v>182.36242617529462</v>
      </c>
      <c r="I75" s="16">
        <f t="shared" si="8"/>
        <v>0.10580000000000001</v>
      </c>
      <c r="J75">
        <f>(('Atomic Particles'!C1)*A75)+(('Atomic Particles'!C2)*Elements!F75)</f>
        <v>181.45710123031236</v>
      </c>
      <c r="K75" s="17">
        <f>(E75^(1/3))*Constants!B2</f>
        <v>7.0577702166077138E-15</v>
      </c>
      <c r="L75" s="15">
        <v>74</v>
      </c>
      <c r="M75" s="19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4</v>
      </c>
      <c r="AA75">
        <v>2</v>
      </c>
      <c r="AG75">
        <v>54</v>
      </c>
      <c r="AH75" s="16">
        <f t="shared" ref="AH75:AH102" si="16">(G75 * 1.6605E-24) / (AI75 * 1E-24)</f>
        <v>61536.569082589558</v>
      </c>
      <c r="AI75" s="16">
        <f t="shared" si="10"/>
        <v>4.9607302544003636E-3</v>
      </c>
      <c r="AN75">
        <f t="shared" si="11"/>
        <v>20</v>
      </c>
      <c r="AO75" s="16">
        <f t="shared" si="12"/>
        <v>1.3176691701738247E-43</v>
      </c>
      <c r="AQ75" s="16">
        <f t="shared" si="13"/>
        <v>1.0965301745777152E+18</v>
      </c>
      <c r="AR75" s="16">
        <f t="shared" si="15"/>
        <v>37.03</v>
      </c>
    </row>
    <row r="76" spans="1:44" x14ac:dyDescent="0.3">
      <c r="A76">
        <v>75</v>
      </c>
      <c r="B76" t="s">
        <v>184</v>
      </c>
      <c r="C76" t="s">
        <v>29</v>
      </c>
      <c r="D76" t="s">
        <v>242</v>
      </c>
      <c r="E76" s="18">
        <v>185</v>
      </c>
      <c r="F76">
        <f t="shared" si="14"/>
        <v>110</v>
      </c>
      <c r="G76">
        <v>186.21</v>
      </c>
      <c r="H76">
        <f>(G76-(A76*'Atomic Particles'!C1))/'Atomic Particles'!C2+A76</f>
        <v>184.71344117502298</v>
      </c>
      <c r="I76" s="16">
        <f t="shared" si="8"/>
        <v>0.10076190476190476</v>
      </c>
      <c r="J76">
        <f>(('Atomic Particles'!C1)*A76)+(('Atomic Particles'!C2)*Elements!F76)</f>
        <v>186.49904212060542</v>
      </c>
      <c r="K76" s="17">
        <f>(E76^(1/3))*Constants!B2</f>
        <v>7.1225240191313289E-15</v>
      </c>
      <c r="L76" s="15">
        <v>75</v>
      </c>
      <c r="M76" s="19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5</v>
      </c>
      <c r="AA76">
        <v>2</v>
      </c>
      <c r="AG76">
        <v>54</v>
      </c>
      <c r="AH76" s="16">
        <f t="shared" si="16"/>
        <v>72154.623491797116</v>
      </c>
      <c r="AI76" s="16">
        <f t="shared" si="10"/>
        <v>4.2852653099236474E-3</v>
      </c>
      <c r="AN76">
        <f t="shared" si="11"/>
        <v>21</v>
      </c>
      <c r="AO76" s="16">
        <f t="shared" si="12"/>
        <v>1.1382521716219193E-43</v>
      </c>
      <c r="AQ76" s="16">
        <f t="shared" si="13"/>
        <v>1.1877343251614561E+18</v>
      </c>
      <c r="AR76" s="16">
        <f t="shared" si="15"/>
        <v>35.266666666666666</v>
      </c>
    </row>
    <row r="77" spans="1:44" x14ac:dyDescent="0.3">
      <c r="A77">
        <v>76</v>
      </c>
      <c r="B77" t="s">
        <v>185</v>
      </c>
      <c r="C77" t="s">
        <v>34</v>
      </c>
      <c r="D77" t="s">
        <v>242</v>
      </c>
      <c r="E77" s="18">
        <v>188</v>
      </c>
      <c r="F77">
        <f>E77-A77</f>
        <v>112</v>
      </c>
      <c r="G77">
        <v>190.23</v>
      </c>
      <c r="H77">
        <f>(G77-(A77*'Atomic Particles'!C1))/'Atomic Particles'!C2+A77</f>
        <v>188.70028025541382</v>
      </c>
      <c r="I77" s="16">
        <f t="shared" si="8"/>
        <v>9.6181818181818188E-2</v>
      </c>
      <c r="J77">
        <f>(('Atomic Particles'!C1)*A77)+(('Atomic Particles'!C2)*Elements!F77)</f>
        <v>189.52365117246296</v>
      </c>
      <c r="K77" s="17">
        <f>(E77^(1/3))*Constants!B2</f>
        <v>7.1608178949780459E-15</v>
      </c>
      <c r="L77" s="15">
        <v>76</v>
      </c>
      <c r="M77" s="19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6</v>
      </c>
      <c r="AA77">
        <v>2</v>
      </c>
      <c r="AG77">
        <v>54</v>
      </c>
      <c r="AH77" s="16">
        <f t="shared" si="16"/>
        <v>84752.073244067258</v>
      </c>
      <c r="AI77" s="16">
        <f t="shared" si="10"/>
        <v>3.7270700634112427E-3</v>
      </c>
      <c r="AN77">
        <f t="shared" si="11"/>
        <v>22</v>
      </c>
      <c r="AO77" s="16">
        <f t="shared" si="12"/>
        <v>9.8998435024329458E-44</v>
      </c>
      <c r="AQ77" s="16">
        <f t="shared" si="13"/>
        <v>1.2820369762861722E+18</v>
      </c>
      <c r="AR77" s="16">
        <f t="shared" si="15"/>
        <v>33.663636363636364</v>
      </c>
    </row>
    <row r="78" spans="1:44" x14ac:dyDescent="0.3">
      <c r="A78">
        <v>77</v>
      </c>
      <c r="B78" t="s">
        <v>186</v>
      </c>
      <c r="C78" t="s">
        <v>37</v>
      </c>
      <c r="D78" t="s">
        <v>242</v>
      </c>
      <c r="E78" s="18">
        <v>193</v>
      </c>
      <c r="F78">
        <f>E78-A78</f>
        <v>116</v>
      </c>
      <c r="G78">
        <v>192.22</v>
      </c>
      <c r="H78">
        <f>(G78-(A78*'Atomic Particles'!C1))/'Atomic Particles'!C2+A78</f>
        <v>190.67456001232293</v>
      </c>
      <c r="I78" s="16">
        <f t="shared" si="8"/>
        <v>9.1999999999999998E-2</v>
      </c>
      <c r="J78">
        <f>(('Atomic Particles'!C1)*A78)+(('Atomic Particles'!C2)*Elements!F78)</f>
        <v>194.56559206275602</v>
      </c>
      <c r="K78" s="17">
        <f>(E78^(1/3))*Constants!B2</f>
        <v>7.2237457064401617E-15</v>
      </c>
      <c r="L78" s="15">
        <v>77</v>
      </c>
      <c r="M78" s="19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7</v>
      </c>
      <c r="AA78">
        <v>2</v>
      </c>
      <c r="AG78">
        <v>54</v>
      </c>
      <c r="AH78" s="16">
        <f t="shared" si="16"/>
        <v>97855.527301781884</v>
      </c>
      <c r="AI78" s="16">
        <f t="shared" si="10"/>
        <v>3.2617606669847047E-3</v>
      </c>
      <c r="AN78">
        <f t="shared" si="11"/>
        <v>23</v>
      </c>
      <c r="AO78" s="16">
        <f t="shared" si="12"/>
        <v>8.6638886836447712E-44</v>
      </c>
      <c r="AQ78" s="16">
        <f t="shared" si="13"/>
        <v>1.3794210544454387E+18</v>
      </c>
      <c r="AR78" s="16">
        <f t="shared" si="15"/>
        <v>32.200000000000003</v>
      </c>
    </row>
    <row r="79" spans="1:44" x14ac:dyDescent="0.3">
      <c r="A79">
        <v>78</v>
      </c>
      <c r="B79" t="s">
        <v>187</v>
      </c>
      <c r="C79" t="s">
        <v>42</v>
      </c>
      <c r="D79" t="s">
        <v>242</v>
      </c>
      <c r="E79" s="18">
        <v>194</v>
      </c>
      <c r="F79">
        <f t="shared" si="14"/>
        <v>116</v>
      </c>
      <c r="G79">
        <v>195.08</v>
      </c>
      <c r="H79">
        <f>(G79-(A79*'Atomic Particles'!C1))/'Atomic Particles'!C2+A79</f>
        <v>193.51136519358138</v>
      </c>
      <c r="I79" s="16">
        <f t="shared" si="8"/>
        <v>8.8166666666666671E-2</v>
      </c>
      <c r="J79">
        <f>(('Atomic Particles'!C1)*A79)+(('Atomic Particles'!C2)*Elements!F79)</f>
        <v>195.57286927617804</v>
      </c>
      <c r="K79" s="17">
        <f>(E79^(1/3))*Constants!B2</f>
        <v>7.2362004650780036E-15</v>
      </c>
      <c r="L79" s="15">
        <v>78</v>
      </c>
      <c r="M79" s="19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9</v>
      </c>
      <c r="AA79">
        <v>1</v>
      </c>
      <c r="AG79">
        <v>54</v>
      </c>
      <c r="AH79" s="16">
        <f t="shared" si="16"/>
        <v>112836.53793178499</v>
      </c>
      <c r="AI79" s="16">
        <f t="shared" si="10"/>
        <v>2.8707929712965072E-3</v>
      </c>
      <c r="AN79">
        <f t="shared" si="11"/>
        <v>24</v>
      </c>
      <c r="AO79" s="16">
        <f t="shared" si="12"/>
        <v>7.6254002903577837E-44</v>
      </c>
      <c r="AQ79" s="16">
        <f t="shared" si="13"/>
        <v>1.4798711296522629E+18</v>
      </c>
      <c r="AR79" s="16">
        <f t="shared" si="15"/>
        <v>30.858333333333334</v>
      </c>
    </row>
    <row r="80" spans="1:44" x14ac:dyDescent="0.3">
      <c r="A80">
        <v>79</v>
      </c>
      <c r="B80" t="s">
        <v>188</v>
      </c>
      <c r="C80" t="s">
        <v>45</v>
      </c>
      <c r="D80" t="s">
        <v>242</v>
      </c>
      <c r="E80" s="18">
        <v>197</v>
      </c>
      <c r="F80">
        <f t="shared" si="14"/>
        <v>118</v>
      </c>
      <c r="G80">
        <v>196.97</v>
      </c>
      <c r="H80">
        <f>(G80-(A80*'Atomic Particles'!C1))/'Atomic Particles'!C2+A80</f>
        <v>195.38650409711698</v>
      </c>
      <c r="I80" s="16">
        <f t="shared" si="8"/>
        <v>8.4640000000000007E-2</v>
      </c>
      <c r="J80">
        <f>(('Atomic Particles'!C1)*A80)+(('Atomic Particles'!C2)*Elements!F80)</f>
        <v>198.59747832803561</v>
      </c>
      <c r="K80" s="17">
        <f>(E80^(1/3))*Constants!B2</f>
        <v>7.2733098343712004E-15</v>
      </c>
      <c r="L80" s="15">
        <v>79</v>
      </c>
      <c r="M80" s="19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1</v>
      </c>
      <c r="AG80">
        <v>54</v>
      </c>
      <c r="AH80" s="16">
        <f t="shared" si="16"/>
        <v>128772.57835657941</v>
      </c>
      <c r="AI80" s="16">
        <f t="shared" si="10"/>
        <v>2.5398938902529864E-3</v>
      </c>
      <c r="AN80">
        <f t="shared" si="11"/>
        <v>25</v>
      </c>
      <c r="AO80" s="16">
        <f t="shared" si="12"/>
        <v>6.7464661512899824E-44</v>
      </c>
      <c r="AQ80" s="16">
        <f t="shared" si="13"/>
        <v>1.5833732096361019E+18</v>
      </c>
      <c r="AR80" s="16">
        <f t="shared" si="15"/>
        <v>29.624000000000002</v>
      </c>
    </row>
    <row r="81" spans="1:44" x14ac:dyDescent="0.3">
      <c r="A81">
        <v>80</v>
      </c>
      <c r="B81" t="s">
        <v>189</v>
      </c>
      <c r="C81" t="s">
        <v>50</v>
      </c>
      <c r="D81" t="s">
        <v>242</v>
      </c>
      <c r="E81" s="18">
        <v>196</v>
      </c>
      <c r="F81">
        <f t="shared" si="14"/>
        <v>116</v>
      </c>
      <c r="G81">
        <v>200.59</v>
      </c>
      <c r="H81">
        <f>(G81-(A81*'Atomic Particles'!C1))/'Atomic Particles'!C2+A81</f>
        <v>198.97677976401391</v>
      </c>
      <c r="I81" s="16">
        <f t="shared" si="8"/>
        <v>8.1384615384615389E-2</v>
      </c>
      <c r="J81">
        <f>(('Atomic Particles'!C1)*A81)+(('Atomic Particles'!C2)*Elements!F81)</f>
        <v>197.58742370302213</v>
      </c>
      <c r="K81" s="17">
        <f>(E81^(1/3))*Constants!B2</f>
        <v>7.260982166954628E-15</v>
      </c>
      <c r="L81" s="15">
        <v>80</v>
      </c>
      <c r="M81" s="19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G81">
        <v>54</v>
      </c>
      <c r="AH81" s="16">
        <f t="shared" si="16"/>
        <v>147513.78373494223</v>
      </c>
      <c r="AI81" s="16">
        <f t="shared" si="10"/>
        <v>2.2579564198454091E-3</v>
      </c>
      <c r="AN81">
        <f t="shared" si="11"/>
        <v>26</v>
      </c>
      <c r="AO81" s="16">
        <f t="shared" si="12"/>
        <v>5.9975838423933756E-44</v>
      </c>
      <c r="AQ81" s="16">
        <f t="shared" si="13"/>
        <v>1.6899145658877064E+18</v>
      </c>
      <c r="AR81" s="16">
        <f t="shared" si="15"/>
        <v>28.484615384615385</v>
      </c>
    </row>
    <row r="82" spans="1:44" x14ac:dyDescent="0.3">
      <c r="A82">
        <v>81</v>
      </c>
      <c r="B82" t="s">
        <v>190</v>
      </c>
      <c r="C82" t="s">
        <v>233</v>
      </c>
      <c r="D82" t="s">
        <v>241</v>
      </c>
      <c r="E82" s="18">
        <v>205</v>
      </c>
      <c r="F82">
        <f t="shared" si="14"/>
        <v>124</v>
      </c>
      <c r="G82">
        <v>204.38</v>
      </c>
      <c r="H82">
        <f>(G82-(A82*'Atomic Particles'!C1))/'Atomic Particles'!C2+A82</f>
        <v>202.73559488164574</v>
      </c>
      <c r="I82" s="16">
        <f t="shared" si="8"/>
        <v>7.8370370370370368E-2</v>
      </c>
      <c r="J82">
        <f>(('Atomic Particles'!C1)*A82)+(('Atomic Particles'!C2)*Elements!F82)</f>
        <v>206.66402827018618</v>
      </c>
      <c r="K82" s="17">
        <f>(E82^(1/3))*Constants!B2</f>
        <v>7.3704606749629592E-15</v>
      </c>
      <c r="L82" s="15">
        <v>81</v>
      </c>
      <c r="M82" s="19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1</v>
      </c>
      <c r="AG82">
        <v>54</v>
      </c>
      <c r="AH82" s="16">
        <f t="shared" si="16"/>
        <v>168318.93238512328</v>
      </c>
      <c r="AI82" s="16">
        <f t="shared" si="10"/>
        <v>2.0162496588529647E-3</v>
      </c>
      <c r="AN82">
        <f t="shared" si="11"/>
        <v>27</v>
      </c>
      <c r="AO82" s="16">
        <f t="shared" si="12"/>
        <v>5.3555623438452455E-44</v>
      </c>
      <c r="AQ82" s="16">
        <f t="shared" si="13"/>
        <v>1.7994835856919299E+18</v>
      </c>
      <c r="AR82" s="16">
        <f t="shared" si="15"/>
        <v>27.42962962962963</v>
      </c>
    </row>
    <row r="83" spans="1:44" x14ac:dyDescent="0.3">
      <c r="A83">
        <v>82</v>
      </c>
      <c r="B83" t="s">
        <v>191</v>
      </c>
      <c r="C83" t="s">
        <v>58</v>
      </c>
      <c r="D83" t="s">
        <v>241</v>
      </c>
      <c r="E83" s="18">
        <v>204</v>
      </c>
      <c r="F83">
        <f t="shared" si="14"/>
        <v>122</v>
      </c>
      <c r="G83">
        <v>207.2</v>
      </c>
      <c r="H83">
        <f>(G83-(A83*'Atomic Particles'!C1))/'Atomic Particles'!C2+A83</f>
        <v>205.53274372155477</v>
      </c>
      <c r="I83" s="16">
        <f t="shared" si="8"/>
        <v>7.5571428571428567E-2</v>
      </c>
      <c r="J83">
        <f>(('Atomic Particles'!C1)*A83)+(('Atomic Particles'!C2)*Elements!F83)</f>
        <v>205.6539736451727</v>
      </c>
      <c r="K83" s="17">
        <f>(E83^(1/3))*Constants!B2</f>
        <v>7.3584566461041693E-15</v>
      </c>
      <c r="L83" s="15">
        <v>82</v>
      </c>
      <c r="M83" s="19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2</v>
      </c>
      <c r="AG83">
        <v>54</v>
      </c>
      <c r="AH83" s="16">
        <f t="shared" si="16"/>
        <v>190312.41732254165</v>
      </c>
      <c r="AI83" s="16">
        <f t="shared" si="10"/>
        <v>1.807846302624039E-3</v>
      </c>
      <c r="AN83">
        <f t="shared" si="11"/>
        <v>28</v>
      </c>
      <c r="AO83" s="16">
        <f t="shared" si="12"/>
        <v>4.8020013490299729E-44</v>
      </c>
      <c r="AQ83" s="16">
        <f t="shared" si="13"/>
        <v>1.9120696455329283E+18</v>
      </c>
      <c r="AR83" s="16">
        <f t="shared" si="15"/>
        <v>26.45</v>
      </c>
    </row>
    <row r="84" spans="1:44" x14ac:dyDescent="0.3">
      <c r="A84">
        <v>83</v>
      </c>
      <c r="B84" t="s">
        <v>192</v>
      </c>
      <c r="C84" t="s">
        <v>67</v>
      </c>
      <c r="D84" t="s">
        <v>241</v>
      </c>
      <c r="E84" s="18">
        <v>209</v>
      </c>
      <c r="F84">
        <f t="shared" si="14"/>
        <v>126</v>
      </c>
      <c r="G84">
        <v>208.98</v>
      </c>
      <c r="H84">
        <f>(G84-(A84*'Atomic Particles'!C1))/'Atomic Particles'!C2+A84</f>
        <v>207.29882768637958</v>
      </c>
      <c r="I84" s="16">
        <f t="shared" si="8"/>
        <v>7.2965517241379313E-2</v>
      </c>
      <c r="J84">
        <f>(('Atomic Particles'!C1)*A84)+(('Atomic Particles'!C2)*Elements!F84)</f>
        <v>210.69591453546573</v>
      </c>
      <c r="K84" s="17">
        <f>(E84^(1/3))*Constants!B2</f>
        <v>7.418090175499927E-15</v>
      </c>
      <c r="L84" s="15">
        <v>83</v>
      </c>
      <c r="M84" s="19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3</v>
      </c>
      <c r="AG84">
        <v>54</v>
      </c>
      <c r="AH84" s="16">
        <f t="shared" si="16"/>
        <v>213256.36342307559</v>
      </c>
      <c r="AI84" s="16">
        <f t="shared" si="10"/>
        <v>1.6272025107713685E-3</v>
      </c>
      <c r="AN84">
        <f t="shared" si="11"/>
        <v>29</v>
      </c>
      <c r="AO84" s="16">
        <f t="shared" si="12"/>
        <v>4.322175309110909E-44</v>
      </c>
      <c r="AQ84" s="16">
        <f>(1 / (2 * PI())) * SQRT((A84 * (1.602E-19^2)) / ((AI84 * 1E-30) * 9.109E-31 * 0.000000000008854))</f>
        <v>2.0276630022025871E+18</v>
      </c>
      <c r="AR84" s="16">
        <f t="shared" si="15"/>
        <v>25.53793103448276</v>
      </c>
    </row>
    <row r="85" spans="1:44" x14ac:dyDescent="0.3">
      <c r="A85">
        <v>84</v>
      </c>
      <c r="B85" t="s">
        <v>193</v>
      </c>
      <c r="C85" t="s">
        <v>234</v>
      </c>
      <c r="D85" t="s">
        <v>241</v>
      </c>
      <c r="E85" s="18">
        <v>209</v>
      </c>
      <c r="F85">
        <f t="shared" si="14"/>
        <v>125</v>
      </c>
      <c r="G85">
        <v>209</v>
      </c>
      <c r="H85">
        <f>(G85-(A85*'Atomic Particles'!C1))/'Atomic Particles'!C2+A85</f>
        <v>207.320032631831</v>
      </c>
      <c r="I85" s="16">
        <f t="shared" si="8"/>
        <v>7.0533333333333337E-2</v>
      </c>
      <c r="J85">
        <f>(('Atomic Particles'!C1)*A85)+(('Atomic Particles'!C2)*Elements!F85)</f>
        <v>210.69452582967003</v>
      </c>
      <c r="K85" s="17">
        <f>(E85^(1/3))*Constants!B2</f>
        <v>7.418090175499927E-15</v>
      </c>
      <c r="L85" s="15">
        <v>84</v>
      </c>
      <c r="M85" s="19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4</v>
      </c>
      <c r="AG85">
        <v>54</v>
      </c>
      <c r="AH85" s="16">
        <f t="shared" si="16"/>
        <v>236109.42894164281</v>
      </c>
      <c r="AI85" s="16">
        <f t="shared" si="10"/>
        <v>1.4698460013038116E-3</v>
      </c>
      <c r="AN85">
        <f t="shared" si="11"/>
        <v>30</v>
      </c>
      <c r="AO85" s="16">
        <f t="shared" si="12"/>
        <v>3.9042049486631847E-44</v>
      </c>
      <c r="AQ85" s="16">
        <f t="shared" ref="AQ85:AQ119" si="17">(1 / (2 * PI())) * SQRT((A85 * (1.602E-19^2)) / ((AI85 * 1E-30) * 9.109E-31 * 0.000000000008854))</f>
        <v>2.1462546986704212E+18</v>
      </c>
      <c r="AR85" s="16">
        <f t="shared" si="15"/>
        <v>24.686666666666667</v>
      </c>
    </row>
    <row r="86" spans="1:44" x14ac:dyDescent="0.3">
      <c r="A86">
        <v>85</v>
      </c>
      <c r="B86" t="s">
        <v>194</v>
      </c>
      <c r="C86" t="s">
        <v>74</v>
      </c>
      <c r="D86" t="s">
        <v>240</v>
      </c>
      <c r="E86" s="18">
        <v>210</v>
      </c>
      <c r="F86">
        <f t="shared" si="14"/>
        <v>125</v>
      </c>
      <c r="G86">
        <v>210</v>
      </c>
      <c r="H86">
        <f>(G86-(A86*'Atomic Particles'!C1))/'Atomic Particles'!C2+A86</f>
        <v>208.3128179403426</v>
      </c>
      <c r="I86" s="16">
        <f t="shared" si="8"/>
        <v>6.8258064516129036E-2</v>
      </c>
      <c r="J86">
        <f>(('Atomic Particles'!C1)*A86)+(('Atomic Particles'!C2)*Elements!F86)</f>
        <v>211.70180304309207</v>
      </c>
      <c r="K86" s="17">
        <f>(E86^(1/3))*Constants!B2</f>
        <v>7.429902440953911E-15</v>
      </c>
      <c r="L86" s="15">
        <v>85</v>
      </c>
      <c r="M86" s="19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5</v>
      </c>
      <c r="AG86">
        <v>54</v>
      </c>
      <c r="AH86" s="16">
        <f t="shared" si="16"/>
        <v>261762.63680597211</v>
      </c>
      <c r="AI86" s="16">
        <f t="shared" si="10"/>
        <v>1.3321419903730293E-3</v>
      </c>
      <c r="AN86">
        <f t="shared" si="11"/>
        <v>31</v>
      </c>
      <c r="AO86" s="16">
        <f t="shared" si="12"/>
        <v>3.5384355548288399E-44</v>
      </c>
      <c r="AQ86" s="16">
        <f t="shared" si="17"/>
        <v>2.2678364823378291E+18</v>
      </c>
      <c r="AR86" s="16">
        <f t="shared" si="15"/>
        <v>23.890322580645162</v>
      </c>
    </row>
    <row r="87" spans="1:44" x14ac:dyDescent="0.3">
      <c r="A87">
        <v>86</v>
      </c>
      <c r="B87" t="s">
        <v>195</v>
      </c>
      <c r="C87" t="s">
        <v>77</v>
      </c>
      <c r="D87" t="s">
        <v>236</v>
      </c>
      <c r="E87" s="18">
        <v>222</v>
      </c>
      <c r="F87">
        <f t="shared" si="14"/>
        <v>136</v>
      </c>
      <c r="G87">
        <v>222</v>
      </c>
      <c r="H87">
        <f>(G87-(A87*'Atomic Particles'!C1))/'Atomic Particles'!C2+A87</f>
        <v>220.21109711993765</v>
      </c>
      <c r="I87" s="16">
        <f t="shared" si="8"/>
        <v>6.6125000000000003E-2</v>
      </c>
      <c r="J87">
        <f>(('Atomic Particles'!C1)*A87)+(('Atomic Particles'!C2)*Elements!F87)</f>
        <v>223.80440536790937</v>
      </c>
      <c r="K87" s="17">
        <f>(E87^(1/3))*Constants!B2</f>
        <v>7.5688111831388797E-15</v>
      </c>
      <c r="L87" s="15">
        <v>86</v>
      </c>
      <c r="M87" s="19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G87">
        <v>54</v>
      </c>
      <c r="AH87" s="16">
        <f t="shared" si="16"/>
        <v>304373.04561372765</v>
      </c>
      <c r="AI87" s="16">
        <f t="shared" si="10"/>
        <v>1.2111157847657136E-3</v>
      </c>
      <c r="AN87">
        <f t="shared" si="11"/>
        <v>32</v>
      </c>
      <c r="AO87" s="16">
        <f t="shared" si="12"/>
        <v>3.2169657474946893E-44</v>
      </c>
      <c r="AQ87" s="16">
        <f t="shared" si="17"/>
        <v>2.3924007337417692E+18</v>
      </c>
      <c r="AR87" s="16">
        <f t="shared" si="15"/>
        <v>23.143750000000001</v>
      </c>
    </row>
    <row r="88" spans="1:44" x14ac:dyDescent="0.3">
      <c r="A88">
        <v>87</v>
      </c>
      <c r="B88" t="s">
        <v>196</v>
      </c>
      <c r="C88" t="s">
        <v>7</v>
      </c>
      <c r="D88" t="s">
        <v>237</v>
      </c>
      <c r="E88" s="18">
        <v>223</v>
      </c>
      <c r="F88">
        <f t="shared" si="14"/>
        <v>136</v>
      </c>
      <c r="G88">
        <v>223</v>
      </c>
      <c r="H88">
        <f>(G88-(A88*'Atomic Particles'!C1))/'Atomic Particles'!C2+A88</f>
        <v>221.20388242844925</v>
      </c>
      <c r="I88" s="16">
        <f t="shared" si="8"/>
        <v>2.1160000000000001</v>
      </c>
      <c r="J88">
        <f>(('Atomic Particles'!C1)*A88)+(('Atomic Particles'!C2)*Elements!F88)</f>
        <v>224.81168258133141</v>
      </c>
      <c r="K88" s="17">
        <f>(E88^(1/3))*Constants!B2</f>
        <v>7.5801587431337018E-15</v>
      </c>
      <c r="L88" s="15">
        <v>87</v>
      </c>
      <c r="M88" s="19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1</v>
      </c>
      <c r="AG88">
        <v>86</v>
      </c>
      <c r="AH88" s="16">
        <f t="shared" si="16"/>
        <v>9.3305693166731096</v>
      </c>
      <c r="AI88" s="16">
        <f t="shared" si="10"/>
        <v>39.685842035202903</v>
      </c>
      <c r="AN88">
        <f t="shared" si="11"/>
        <v>1</v>
      </c>
      <c r="AO88" s="16">
        <f t="shared" si="12"/>
        <v>1.0541353361390598E-39</v>
      </c>
      <c r="AQ88" s="16">
        <f t="shared" si="17"/>
        <v>1.3292888445383248E+16</v>
      </c>
      <c r="AR88" s="16">
        <f t="shared" si="15"/>
        <v>740.6</v>
      </c>
    </row>
    <row r="89" spans="1:44" x14ac:dyDescent="0.3">
      <c r="A89">
        <v>88</v>
      </c>
      <c r="B89" t="s">
        <v>197</v>
      </c>
      <c r="C89" t="s">
        <v>13</v>
      </c>
      <c r="D89" t="s">
        <v>238</v>
      </c>
      <c r="E89" s="18">
        <v>226</v>
      </c>
      <c r="F89">
        <f t="shared" si="14"/>
        <v>138</v>
      </c>
      <c r="G89">
        <v>226</v>
      </c>
      <c r="H89">
        <f>(G89-(A89*'Atomic Particles'!C1))/'Atomic Particles'!C2+A89</f>
        <v>224.17948480443056</v>
      </c>
      <c r="I89" s="16">
        <f>0.529 * (M89^2 / (A89 - AG89))</f>
        <v>1.0580000000000001</v>
      </c>
      <c r="J89">
        <f>(('Atomic Particles'!C1)*A89)+(('Atomic Particles'!C2)*Elements!F89)</f>
        <v>227.83629163318895</v>
      </c>
      <c r="K89" s="17">
        <f>(E89^(1/3))*Constants!B2</f>
        <v>7.613999186149732E-15</v>
      </c>
      <c r="L89" s="15">
        <v>88</v>
      </c>
      <c r="M89" s="19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D89">
        <v>2</v>
      </c>
      <c r="AG89">
        <v>86</v>
      </c>
      <c r="AH89" s="16">
        <f t="shared" si="16"/>
        <v>75.648741365672564</v>
      </c>
      <c r="AI89" s="16">
        <f t="shared" si="10"/>
        <v>4.9607302544003629</v>
      </c>
      <c r="AN89">
        <f t="shared" si="11"/>
        <v>2</v>
      </c>
      <c r="AO89" s="16">
        <f t="shared" si="12"/>
        <v>1.3176691701738247E-40</v>
      </c>
      <c r="AQ89" s="16">
        <f t="shared" si="17"/>
        <v>3.7813429133696112E+16</v>
      </c>
      <c r="AR89" s="16">
        <f t="shared" si="15"/>
        <v>370.3</v>
      </c>
    </row>
    <row r="90" spans="1:44" x14ac:dyDescent="0.3">
      <c r="A90">
        <v>89</v>
      </c>
      <c r="B90" t="s">
        <v>180</v>
      </c>
      <c r="C90" t="s">
        <v>84</v>
      </c>
      <c r="D90" t="s">
        <v>244</v>
      </c>
      <c r="E90" s="18">
        <v>227</v>
      </c>
      <c r="F90">
        <f t="shared" si="14"/>
        <v>138</v>
      </c>
      <c r="G90">
        <v>227</v>
      </c>
      <c r="H90">
        <f>(G90-(A90*'Atomic Particles'!C1))/'Atomic Particles'!C2+A90</f>
        <v>225.17227011294213</v>
      </c>
      <c r="I90" s="16">
        <f t="shared" ref="I90:I119" si="18">0.529 * (M90^2 / (A90 - AG90))</f>
        <v>0.70533333333333337</v>
      </c>
      <c r="J90">
        <f>(('Atomic Particles'!C1)*A90)+(('Atomic Particles'!C2)*Elements!F90)</f>
        <v>228.84356884661099</v>
      </c>
      <c r="K90" s="17">
        <f>(E90^(1/3))*Constants!B2</f>
        <v>7.6252127504913264E-15</v>
      </c>
      <c r="L90" s="15">
        <v>89</v>
      </c>
      <c r="M90" s="19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1</v>
      </c>
      <c r="AD90">
        <v>2</v>
      </c>
      <c r="AG90">
        <v>86</v>
      </c>
      <c r="AH90" s="16">
        <f t="shared" si="16"/>
        <v>256.44421229546845</v>
      </c>
      <c r="AI90" s="16">
        <f t="shared" si="10"/>
        <v>1.4698460013038117</v>
      </c>
      <c r="AN90">
        <f t="shared" si="11"/>
        <v>3</v>
      </c>
      <c r="AO90" s="16">
        <f t="shared" si="12"/>
        <v>3.9042049486631853E-41</v>
      </c>
      <c r="AQ90" s="16">
        <f t="shared" si="17"/>
        <v>6.986129298297624E+16</v>
      </c>
      <c r="AR90" s="16">
        <f t="shared" si="15"/>
        <v>246.86666666666667</v>
      </c>
    </row>
    <row r="91" spans="1:44" x14ac:dyDescent="0.3">
      <c r="A91">
        <v>90</v>
      </c>
      <c r="B91" t="s">
        <v>198</v>
      </c>
      <c r="C91" t="s">
        <v>99</v>
      </c>
      <c r="D91" t="s">
        <v>244</v>
      </c>
      <c r="E91" s="18">
        <v>230</v>
      </c>
      <c r="F91">
        <f t="shared" si="14"/>
        <v>140</v>
      </c>
      <c r="G91">
        <v>232.04</v>
      </c>
      <c r="H91">
        <f>(G91-(A91*'Atomic Particles'!C1))/'Atomic Particles'!C2+A91</f>
        <v>230.17034589774255</v>
      </c>
      <c r="I91" s="16">
        <f t="shared" si="18"/>
        <v>0.52900000000000003</v>
      </c>
      <c r="J91">
        <f>(('Atomic Particles'!C1)*A91)+(('Atomic Particles'!C2)*Elements!F91)</f>
        <v>231.8681778984685</v>
      </c>
      <c r="K91" s="17">
        <f>(E91^(1/3))*Constants!B2</f>
        <v>7.6586570940355215E-15</v>
      </c>
      <c r="L91" s="15">
        <v>90</v>
      </c>
      <c r="M91" s="19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AA91">
        <v>2</v>
      </c>
      <c r="AB91">
        <v>6</v>
      </c>
      <c r="AC91">
        <v>2</v>
      </c>
      <c r="AD91">
        <v>2</v>
      </c>
      <c r="AG91">
        <v>86</v>
      </c>
      <c r="AH91" s="16">
        <f t="shared" si="16"/>
        <v>621.36403350409421</v>
      </c>
      <c r="AI91" s="16">
        <f t="shared" si="10"/>
        <v>0.62009128180004536</v>
      </c>
      <c r="AN91">
        <f t="shared" si="11"/>
        <v>4</v>
      </c>
      <c r="AO91" s="16">
        <f t="shared" si="12"/>
        <v>1.6470864627172809E-41</v>
      </c>
      <c r="AQ91" s="16">
        <f t="shared" si="17"/>
        <v>1.0816107015020584E+17</v>
      </c>
      <c r="AR91" s="16">
        <f t="shared" si="15"/>
        <v>185.15</v>
      </c>
    </row>
    <row r="92" spans="1:44" x14ac:dyDescent="0.3">
      <c r="A92">
        <v>91</v>
      </c>
      <c r="B92" t="s">
        <v>199</v>
      </c>
      <c r="C92" t="s">
        <v>100</v>
      </c>
      <c r="D92" t="s">
        <v>244</v>
      </c>
      <c r="E92" s="18">
        <v>231</v>
      </c>
      <c r="F92">
        <f t="shared" si="14"/>
        <v>140</v>
      </c>
      <c r="G92">
        <v>231.04</v>
      </c>
      <c r="H92">
        <f>(G92-(A92*'Atomic Particles'!C1))/'Atomic Particles'!C2+A92</f>
        <v>229.18031413878444</v>
      </c>
      <c r="I92" s="16">
        <f t="shared" si="18"/>
        <v>0.42320000000000002</v>
      </c>
      <c r="J92">
        <f>(('Atomic Particles'!C1)*A92)+(('Atomic Particles'!C2)*Elements!F92)</f>
        <v>232.87545511189057</v>
      </c>
      <c r="K92" s="17">
        <f>(E92^(1/3))*Constants!B2</f>
        <v>7.669740549577448E-15</v>
      </c>
      <c r="L92" s="15">
        <v>91</v>
      </c>
      <c r="M92" s="19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2</v>
      </c>
      <c r="AA92">
        <v>2</v>
      </c>
      <c r="AB92">
        <v>6</v>
      </c>
      <c r="AC92">
        <v>1</v>
      </c>
      <c r="AD92">
        <v>2</v>
      </c>
      <c r="AG92">
        <v>86</v>
      </c>
      <c r="AH92" s="16">
        <f t="shared" si="16"/>
        <v>1208.3714881861854</v>
      </c>
      <c r="AI92" s="16">
        <f t="shared" si="10"/>
        <v>0.31748673628162327</v>
      </c>
      <c r="AN92">
        <f t="shared" si="11"/>
        <v>5</v>
      </c>
      <c r="AO92" s="16">
        <f t="shared" si="12"/>
        <v>8.433082689112478E-42</v>
      </c>
      <c r="AQ92" s="16">
        <f t="shared" si="17"/>
        <v>1.5199714707862058E+17</v>
      </c>
      <c r="AR92" s="16">
        <f t="shared" si="15"/>
        <v>148.12</v>
      </c>
    </row>
    <row r="93" spans="1:44" x14ac:dyDescent="0.3">
      <c r="A93">
        <v>92</v>
      </c>
      <c r="B93" t="s">
        <v>200</v>
      </c>
      <c r="C93" t="s">
        <v>101</v>
      </c>
      <c r="D93" t="s">
        <v>244</v>
      </c>
      <c r="E93" s="18">
        <v>234</v>
      </c>
      <c r="F93">
        <f t="shared" si="14"/>
        <v>142</v>
      </c>
      <c r="G93">
        <v>238.03</v>
      </c>
      <c r="H93">
        <f>(G93-(A93*'Atomic Particles'!C1))/'Atomic Particles'!C2+A93</f>
        <v>236.11163656436784</v>
      </c>
      <c r="I93" s="16">
        <f t="shared" si="18"/>
        <v>0.35266666666666668</v>
      </c>
      <c r="J93">
        <f>(('Atomic Particles'!C1)*A93)+(('Atomic Particles'!C2)*Elements!F93)</f>
        <v>235.90006416374808</v>
      </c>
      <c r="K93" s="17">
        <f>(E93^(1/3))*Constants!B2</f>
        <v>7.7028001846862996E-15</v>
      </c>
      <c r="L93" s="15">
        <v>92</v>
      </c>
      <c r="M93" s="19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3</v>
      </c>
      <c r="AA93">
        <v>2</v>
      </c>
      <c r="AB93">
        <v>6</v>
      </c>
      <c r="AC93">
        <v>1</v>
      </c>
      <c r="AD93">
        <v>2</v>
      </c>
      <c r="AG93">
        <v>86</v>
      </c>
      <c r="AH93" s="16">
        <f t="shared" si="16"/>
        <v>2151.2393252049465</v>
      </c>
      <c r="AI93" s="16">
        <f t="shared" si="10"/>
        <v>0.18373075016297646</v>
      </c>
      <c r="AN93">
        <f t="shared" si="11"/>
        <v>6</v>
      </c>
      <c r="AO93" s="16">
        <f t="shared" si="12"/>
        <v>4.8802561858289816E-42</v>
      </c>
      <c r="AQ93" s="16">
        <f t="shared" si="17"/>
        <v>2.0090027123259494E+17</v>
      </c>
      <c r="AR93" s="16">
        <f t="shared" si="15"/>
        <v>123.43333333333334</v>
      </c>
    </row>
    <row r="94" spans="1:44" x14ac:dyDescent="0.3">
      <c r="A94">
        <v>93</v>
      </c>
      <c r="B94" t="s">
        <v>201</v>
      </c>
      <c r="C94" t="s">
        <v>102</v>
      </c>
      <c r="D94" t="s">
        <v>244</v>
      </c>
      <c r="E94" s="18">
        <v>225</v>
      </c>
      <c r="F94">
        <f t="shared" si="14"/>
        <v>132</v>
      </c>
      <c r="G94">
        <v>237</v>
      </c>
      <c r="H94">
        <f>(G94-(A94*'Atomic Particles'!C1))/'Atomic Particles'!C2+A94</f>
        <v>235.09186254939763</v>
      </c>
      <c r="I94" s="16">
        <f t="shared" si="18"/>
        <v>0.30228571428571427</v>
      </c>
      <c r="J94">
        <f>(('Atomic Particles'!C1)*A94)+(('Atomic Particles'!C2)*Elements!F94)</f>
        <v>226.82068218499262</v>
      </c>
      <c r="K94" s="17">
        <f>(E94^(1/3))*Constants!B2</f>
        <v>7.60275249446675E-15</v>
      </c>
      <c r="L94" s="15">
        <v>93</v>
      </c>
      <c r="M94" s="19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4</v>
      </c>
      <c r="AA94">
        <v>2</v>
      </c>
      <c r="AB94">
        <v>6</v>
      </c>
      <c r="AD94">
        <v>2</v>
      </c>
      <c r="AG94">
        <v>86</v>
      </c>
      <c r="AH94" s="16">
        <f t="shared" si="16"/>
        <v>3401.3063243124379</v>
      </c>
      <c r="AI94" s="16">
        <f t="shared" si="10"/>
        <v>0.1157021633679385</v>
      </c>
      <c r="AN94">
        <f t="shared" si="11"/>
        <v>7</v>
      </c>
      <c r="AO94" s="16">
        <f t="shared" si="12"/>
        <v>3.0732808633791827E-42</v>
      </c>
      <c r="AQ94" s="16">
        <f t="shared" si="17"/>
        <v>2.5453544508223843E+17</v>
      </c>
      <c r="AR94" s="16">
        <f t="shared" si="15"/>
        <v>105.8</v>
      </c>
    </row>
    <row r="95" spans="1:44" x14ac:dyDescent="0.3">
      <c r="A95">
        <v>94</v>
      </c>
      <c r="B95" t="s">
        <v>202</v>
      </c>
      <c r="C95" t="s">
        <v>103</v>
      </c>
      <c r="D95" t="s">
        <v>244</v>
      </c>
      <c r="E95" s="18">
        <v>228</v>
      </c>
      <c r="F95">
        <f t="shared" si="14"/>
        <v>134</v>
      </c>
      <c r="G95">
        <v>244</v>
      </c>
      <c r="H95">
        <f>(G95-(A95*'Atomic Particles'!C1))/'Atomic Particles'!C2+A95</f>
        <v>242.03309906031839</v>
      </c>
      <c r="I95" s="16">
        <f t="shared" si="18"/>
        <v>0.26450000000000001</v>
      </c>
      <c r="J95">
        <f>(('Atomic Particles'!C1)*A95)+(('Atomic Particles'!C2)*Elements!F95)</f>
        <v>229.84529123685013</v>
      </c>
      <c r="K95" s="17">
        <f>(E95^(1/3))*Constants!B2</f>
        <v>7.6363934303620087E-15</v>
      </c>
      <c r="L95" s="15">
        <v>94</v>
      </c>
      <c r="M95" s="19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6</v>
      </c>
      <c r="AA95">
        <v>2</v>
      </c>
      <c r="AB95">
        <v>6</v>
      </c>
      <c r="AD95">
        <v>2</v>
      </c>
      <c r="AG95">
        <v>86</v>
      </c>
      <c r="AH95" s="16">
        <f t="shared" si="16"/>
        <v>5227.1271910015157</v>
      </c>
      <c r="AI95" s="16">
        <f t="shared" si="10"/>
        <v>7.751141022500567E-2</v>
      </c>
      <c r="AN95">
        <f t="shared" si="11"/>
        <v>8</v>
      </c>
      <c r="AO95" s="16">
        <f t="shared" si="12"/>
        <v>2.0588580783966012E-42</v>
      </c>
      <c r="AQ95" s="16">
        <f t="shared" si="17"/>
        <v>3.1265014981641459E+17</v>
      </c>
      <c r="AR95" s="16">
        <f t="shared" si="15"/>
        <v>92.575000000000003</v>
      </c>
    </row>
    <row r="96" spans="1:44" x14ac:dyDescent="0.3">
      <c r="A96">
        <v>95</v>
      </c>
      <c r="B96" t="s">
        <v>203</v>
      </c>
      <c r="C96" t="s">
        <v>104</v>
      </c>
      <c r="D96" t="s">
        <v>244</v>
      </c>
      <c r="E96" s="18">
        <v>231</v>
      </c>
      <c r="F96">
        <f t="shared" si="14"/>
        <v>136</v>
      </c>
      <c r="G96">
        <v>243</v>
      </c>
      <c r="H96">
        <f>(G96-(A96*'Atomic Particles'!C1))/'Atomic Particles'!C2+A96</f>
        <v>241.04306730136028</v>
      </c>
      <c r="I96" s="16">
        <f t="shared" si="18"/>
        <v>0.2351111111111111</v>
      </c>
      <c r="J96">
        <f>(('Atomic Particles'!C1)*A96)+(('Atomic Particles'!C2)*Elements!F96)</f>
        <v>232.8699002887077</v>
      </c>
      <c r="K96" s="17">
        <f>(E96^(1/3))*Constants!B2</f>
        <v>7.669740549577448E-15</v>
      </c>
      <c r="L96" s="15">
        <v>95</v>
      </c>
      <c r="M96" s="19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D96">
        <v>2</v>
      </c>
      <c r="AG96">
        <v>86</v>
      </c>
      <c r="AH96" s="16">
        <f t="shared" si="16"/>
        <v>7412.028532469466</v>
      </c>
      <c r="AI96" s="16">
        <f t="shared" si="10"/>
        <v>5.4438740789030049E-2</v>
      </c>
      <c r="AN96">
        <f t="shared" si="11"/>
        <v>9</v>
      </c>
      <c r="AO96" s="16">
        <f t="shared" si="12"/>
        <v>1.4460018328382159E-42</v>
      </c>
      <c r="AQ96" s="16">
        <f t="shared" si="17"/>
        <v>3.7504665866814669E+17</v>
      </c>
      <c r="AR96" s="16">
        <f t="shared" si="15"/>
        <v>82.288888888888891</v>
      </c>
    </row>
    <row r="97" spans="1:44" x14ac:dyDescent="0.3">
      <c r="A97">
        <v>96</v>
      </c>
      <c r="B97" t="s">
        <v>204</v>
      </c>
      <c r="C97" t="s">
        <v>105</v>
      </c>
      <c r="D97" t="s">
        <v>244</v>
      </c>
      <c r="E97" s="18">
        <v>232</v>
      </c>
      <c r="F97">
        <f t="shared" si="14"/>
        <v>136</v>
      </c>
      <c r="G97">
        <v>247</v>
      </c>
      <c r="H97">
        <f>(G97-(A97*'Atomic Particles'!C1))/'Atomic Particles'!C2+A97</f>
        <v>245.01007821107643</v>
      </c>
      <c r="I97" s="16">
        <f t="shared" si="18"/>
        <v>0.21160000000000001</v>
      </c>
      <c r="J97">
        <f>(('Atomic Particles'!C1)*A97)+(('Atomic Particles'!C2)*Elements!F97)</f>
        <v>233.87717750212971</v>
      </c>
      <c r="K97" s="17">
        <f>(E97^(1/3))*Constants!B2</f>
        <v>7.6807920642146183E-15</v>
      </c>
      <c r="L97" s="15">
        <v>96</v>
      </c>
      <c r="M97" s="19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7</v>
      </c>
      <c r="AA97">
        <v>2</v>
      </c>
      <c r="AB97">
        <v>6</v>
      </c>
      <c r="AC97">
        <v>1</v>
      </c>
      <c r="AD97">
        <v>2</v>
      </c>
      <c r="AG97">
        <v>86</v>
      </c>
      <c r="AH97" s="16">
        <f t="shared" si="16"/>
        <v>10334.756148960796</v>
      </c>
      <c r="AI97" s="16">
        <f t="shared" si="10"/>
        <v>3.9685842035202909E-2</v>
      </c>
      <c r="AN97">
        <f t="shared" si="11"/>
        <v>10</v>
      </c>
      <c r="AO97" s="16">
        <f t="shared" si="12"/>
        <v>1.0541353361390597E-42</v>
      </c>
      <c r="AQ97" s="16">
        <f t="shared" si="17"/>
        <v>4.4156571983563488E+17</v>
      </c>
      <c r="AR97" s="16">
        <f t="shared" si="15"/>
        <v>74.06</v>
      </c>
    </row>
    <row r="98" spans="1:44" x14ac:dyDescent="0.3">
      <c r="A98">
        <v>97</v>
      </c>
      <c r="B98" t="s">
        <v>205</v>
      </c>
      <c r="C98" t="s">
        <v>106</v>
      </c>
      <c r="D98" t="s">
        <v>244</v>
      </c>
      <c r="E98" s="18">
        <v>234</v>
      </c>
      <c r="F98">
        <f t="shared" si="14"/>
        <v>137</v>
      </c>
      <c r="G98">
        <v>247</v>
      </c>
      <c r="H98">
        <f>(G98-(A98*'Atomic Particles'!C1))/'Atomic Particles'!C2+A98</f>
        <v>245.01145498585316</v>
      </c>
      <c r="I98" s="16">
        <f t="shared" si="18"/>
        <v>0.19236363636363638</v>
      </c>
      <c r="J98">
        <f>(('Atomic Particles'!C1)*A98)+(('Atomic Particles'!C2)*Elements!F98)</f>
        <v>235.8931206347695</v>
      </c>
      <c r="K98" s="17">
        <f>(E98^(1/3))*Constants!B98</f>
        <v>0</v>
      </c>
      <c r="L98" s="15">
        <v>97</v>
      </c>
      <c r="M98" s="19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9</v>
      </c>
      <c r="AA98">
        <v>2</v>
      </c>
      <c r="AB98">
        <v>6</v>
      </c>
      <c r="AD98">
        <v>2</v>
      </c>
      <c r="AG98">
        <v>86</v>
      </c>
      <c r="AH98" s="16">
        <f t="shared" si="16"/>
        <v>13755.560434266818</v>
      </c>
      <c r="AI98" s="16">
        <f t="shared" si="10"/>
        <v>2.9816560507289942E-2</v>
      </c>
      <c r="AN98">
        <f t="shared" si="11"/>
        <v>11</v>
      </c>
      <c r="AO98" s="16">
        <f t="shared" si="12"/>
        <v>7.9198748019463567E-43</v>
      </c>
      <c r="AQ98" s="16">
        <f t="shared" si="17"/>
        <v>5.120762439870921E+17</v>
      </c>
      <c r="AR98" s="16">
        <f t="shared" si="15"/>
        <v>67.327272727272728</v>
      </c>
    </row>
    <row r="99" spans="1:44" x14ac:dyDescent="0.3">
      <c r="A99">
        <v>98</v>
      </c>
      <c r="B99" t="s">
        <v>206</v>
      </c>
      <c r="C99" t="s">
        <v>107</v>
      </c>
      <c r="D99" t="s">
        <v>244</v>
      </c>
      <c r="E99" s="18">
        <v>237</v>
      </c>
      <c r="F99">
        <f t="shared" si="14"/>
        <v>139</v>
      </c>
      <c r="G99">
        <v>251</v>
      </c>
      <c r="H99">
        <f>(G99-(A99*'Atomic Particles'!C1))/'Atomic Particles'!C2+A99</f>
        <v>248.97846589556934</v>
      </c>
      <c r="I99" s="16">
        <f t="shared" si="18"/>
        <v>0.17633333333333334</v>
      </c>
      <c r="J99">
        <f>(('Atomic Particles'!C1)*A99)+(('Atomic Particles'!C2)*Elements!F99)</f>
        <v>238.91772968662707</v>
      </c>
      <c r="K99" s="17">
        <f>(E99^(1/3))*Constants!B99</f>
        <v>0</v>
      </c>
      <c r="L99" s="15">
        <v>98</v>
      </c>
      <c r="M99" s="19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10</v>
      </c>
      <c r="AA99">
        <v>2</v>
      </c>
      <c r="AB99">
        <v>6</v>
      </c>
      <c r="AD99">
        <v>2</v>
      </c>
      <c r="AG99">
        <v>86</v>
      </c>
      <c r="AH99" s="16">
        <f t="shared" si="16"/>
        <v>18147.664433103106</v>
      </c>
      <c r="AI99" s="16">
        <f t="shared" si="10"/>
        <v>2.2966343770372058E-2</v>
      </c>
      <c r="AN99">
        <f t="shared" si="11"/>
        <v>12</v>
      </c>
      <c r="AO99" s="16">
        <f t="shared" si="12"/>
        <v>6.100320232286227E-43</v>
      </c>
      <c r="AQ99" s="16">
        <f t="shared" si="17"/>
        <v>5.8646843275960691E+17</v>
      </c>
      <c r="AR99" s="16">
        <f t="shared" si="15"/>
        <v>61.716666666666669</v>
      </c>
    </row>
    <row r="100" spans="1:44" x14ac:dyDescent="0.3">
      <c r="A100">
        <v>99</v>
      </c>
      <c r="B100" t="s">
        <v>207</v>
      </c>
      <c r="C100" t="s">
        <v>108</v>
      </c>
      <c r="D100" t="s">
        <v>244</v>
      </c>
      <c r="E100" s="18">
        <v>240</v>
      </c>
      <c r="F100">
        <f t="shared" si="14"/>
        <v>141</v>
      </c>
      <c r="G100">
        <v>252</v>
      </c>
      <c r="H100">
        <f>(G100-(A100*'Atomic Particles'!C1))/'Atomic Particles'!C2+A100</f>
        <v>249.97125120408094</v>
      </c>
      <c r="I100" s="16">
        <f t="shared" si="18"/>
        <v>0.16276923076923078</v>
      </c>
      <c r="J100">
        <f>(('Atomic Particles'!C1)*A100)+(('Atomic Particles'!C2)*Elements!F100)</f>
        <v>241.94233873848458</v>
      </c>
      <c r="K100" s="17">
        <f>(E100^(1/3))*Constants!B100</f>
        <v>0</v>
      </c>
      <c r="L100" s="15">
        <v>99</v>
      </c>
      <c r="M100" s="19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11</v>
      </c>
      <c r="AA100">
        <v>2</v>
      </c>
      <c r="AB100">
        <v>6</v>
      </c>
      <c r="AD100">
        <v>2</v>
      </c>
      <c r="AG100">
        <v>86</v>
      </c>
      <c r="AH100" s="16">
        <f t="shared" si="16"/>
        <v>23165.083940628545</v>
      </c>
      <c r="AI100" s="16">
        <f t="shared" si="10"/>
        <v>1.8063651358763273E-2</v>
      </c>
      <c r="AN100">
        <f t="shared" si="11"/>
        <v>13</v>
      </c>
      <c r="AO100" s="16">
        <f t="shared" si="12"/>
        <v>4.7980670739147005E-43</v>
      </c>
      <c r="AQ100" s="16">
        <f t="shared" si="17"/>
        <v>6.6464900600799258E+17</v>
      </c>
      <c r="AR100" s="16">
        <f t="shared" si="15"/>
        <v>56.969230769230769</v>
      </c>
    </row>
    <row r="101" spans="1:44" x14ac:dyDescent="0.3">
      <c r="A101">
        <v>100</v>
      </c>
      <c r="B101" t="s">
        <v>208</v>
      </c>
      <c r="C101" t="s">
        <v>109</v>
      </c>
      <c r="D101" t="s">
        <v>244</v>
      </c>
      <c r="E101" s="18">
        <v>241</v>
      </c>
      <c r="F101">
        <f t="shared" si="14"/>
        <v>141</v>
      </c>
      <c r="G101">
        <v>257</v>
      </c>
      <c r="H101">
        <f>(G101-(A101*'Atomic Particles'!C1))/'Atomic Particles'!C2+A101</f>
        <v>254.92967064753196</v>
      </c>
      <c r="I101" s="16">
        <f t="shared" si="18"/>
        <v>0.15114285714285713</v>
      </c>
      <c r="J101">
        <f>(('Atomic Particles'!C1)*A101)+(('Atomic Particles'!C2)*Elements!F101)</f>
        <v>242.94961595190662</v>
      </c>
      <c r="K101" s="17">
        <f>(E101^(1/3))*Constants!B101</f>
        <v>0</v>
      </c>
      <c r="L101" s="15">
        <v>100</v>
      </c>
      <c r="M101" s="19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12</v>
      </c>
      <c r="AA101">
        <v>2</v>
      </c>
      <c r="AB101">
        <v>6</v>
      </c>
      <c r="AD101">
        <v>2</v>
      </c>
      <c r="AG101">
        <v>86</v>
      </c>
      <c r="AH101" s="16">
        <f t="shared" si="16"/>
        <v>29506.691150997351</v>
      </c>
      <c r="AI101" s="16">
        <f t="shared" si="10"/>
        <v>1.4462770420992312E-2</v>
      </c>
      <c r="AN101">
        <f t="shared" si="11"/>
        <v>14</v>
      </c>
      <c r="AO101" s="16">
        <f t="shared" si="12"/>
        <v>3.8416010792239783E-43</v>
      </c>
      <c r="AQ101" s="16">
        <f t="shared" si="17"/>
        <v>7.4653777383972736E+17</v>
      </c>
      <c r="AR101" s="16">
        <f t="shared" si="15"/>
        <v>52.9</v>
      </c>
    </row>
    <row r="102" spans="1:44" x14ac:dyDescent="0.3">
      <c r="A102">
        <v>101</v>
      </c>
      <c r="B102" t="s">
        <v>209</v>
      </c>
      <c r="C102" t="s">
        <v>110</v>
      </c>
      <c r="D102" t="s">
        <v>244</v>
      </c>
      <c r="E102" s="18">
        <v>246</v>
      </c>
      <c r="F102">
        <f t="shared" si="14"/>
        <v>145</v>
      </c>
      <c r="G102">
        <v>258</v>
      </c>
      <c r="H102">
        <f>(G102-(A102*'Atomic Particles'!C1))/'Atomic Particles'!C2+A102</f>
        <v>255.92245595604356</v>
      </c>
      <c r="I102" s="16">
        <f t="shared" si="18"/>
        <v>0.14106666666666667</v>
      </c>
      <c r="J102">
        <f>(('Atomic Particles'!C1)*A102)+(('Atomic Particles'!C2)*Elements!F102)</f>
        <v>247.99155684219966</v>
      </c>
      <c r="K102" s="17">
        <f>(E102^(1/3))*Constants!B102</f>
        <v>0</v>
      </c>
      <c r="L102" s="15">
        <v>101</v>
      </c>
      <c r="M102" s="19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13</v>
      </c>
      <c r="AA102">
        <v>2</v>
      </c>
      <c r="AB102">
        <v>6</v>
      </c>
      <c r="AD102">
        <v>2</v>
      </c>
      <c r="AG102">
        <v>86</v>
      </c>
      <c r="AH102" s="16">
        <f t="shared" si="16"/>
        <v>36433.153508937707</v>
      </c>
      <c r="AI102" s="16">
        <f>(4/3) * PI() * (I102^3)</f>
        <v>1.1758768010430493E-2</v>
      </c>
      <c r="AN102">
        <f t="shared" si="11"/>
        <v>15</v>
      </c>
      <c r="AO102" s="16">
        <f t="shared" si="12"/>
        <v>3.1233639589305478E-43</v>
      </c>
      <c r="AQ102" s="16">
        <f t="shared" si="17"/>
        <v>8.3206510554353318E+17</v>
      </c>
      <c r="AR102" s="16">
        <f t="shared" si="15"/>
        <v>49.373333333333335</v>
      </c>
    </row>
    <row r="103" spans="1:44" x14ac:dyDescent="0.3">
      <c r="A103">
        <v>102</v>
      </c>
      <c r="B103" t="s">
        <v>210</v>
      </c>
      <c r="C103" t="s">
        <v>111</v>
      </c>
      <c r="D103" t="s">
        <v>244</v>
      </c>
      <c r="E103" s="18">
        <v>250</v>
      </c>
      <c r="F103">
        <f t="shared" si="14"/>
        <v>148</v>
      </c>
      <c r="G103">
        <v>259</v>
      </c>
      <c r="H103">
        <f>(G103-(A103*'Atomic Particles'!C1))/'Atomic Particles'!C2+A103</f>
        <v>256.91524126455511</v>
      </c>
      <c r="I103" s="16">
        <f t="shared" si="18"/>
        <v>0.13225000000000001</v>
      </c>
      <c r="J103">
        <f>(('Atomic Particles'!C1)*A103)+(('Atomic Particles'!C2)*Elements!F103)</f>
        <v>252.02483181327494</v>
      </c>
      <c r="K103" s="17">
        <f>(E103^(1/3))*Constants!B103</f>
        <v>0</v>
      </c>
      <c r="L103" s="15">
        <v>102</v>
      </c>
      <c r="M103" s="19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G103">
        <v>86</v>
      </c>
      <c r="AH103" s="16">
        <f>(G103 * 1.6605E-24) / (AI103 * 1E-24)</f>
        <v>44387.735818668611</v>
      </c>
      <c r="AI103" s="16">
        <f t="shared" ref="AI103:AI119" si="19">(4/3) * PI() * (I103^3)</f>
        <v>9.6889262781257087E-3</v>
      </c>
      <c r="AN103">
        <f t="shared" si="11"/>
        <v>16</v>
      </c>
      <c r="AO103" s="16">
        <f t="shared" si="12"/>
        <v>2.5735725979957515E-43</v>
      </c>
      <c r="AQ103" s="16">
        <f t="shared" si="17"/>
        <v>9.2117001689840333E+17</v>
      </c>
      <c r="AR103" s="16">
        <f t="shared" si="15"/>
        <v>46.287500000000001</v>
      </c>
    </row>
    <row r="104" spans="1:44" x14ac:dyDescent="0.3">
      <c r="A104">
        <v>103</v>
      </c>
      <c r="B104" t="s">
        <v>211</v>
      </c>
      <c r="C104" t="s">
        <v>112</v>
      </c>
      <c r="D104" t="s">
        <v>244</v>
      </c>
      <c r="E104" s="18">
        <v>252</v>
      </c>
      <c r="F104">
        <f t="shared" si="14"/>
        <v>149</v>
      </c>
      <c r="G104">
        <v>266</v>
      </c>
      <c r="H104">
        <f>(G104-(A104*'Atomic Particles'!C1))/'Atomic Particles'!C2+A104</f>
        <v>263.85647777547592</v>
      </c>
      <c r="I104" s="16">
        <f t="shared" si="18"/>
        <v>0.12447058823529412</v>
      </c>
      <c r="J104">
        <f>(('Atomic Particles'!C1)*A104)+(('Atomic Particles'!C2)*Elements!F104)</f>
        <v>254.04077494591476</v>
      </c>
      <c r="K104" s="17">
        <f>(E104^(1/3))*Constants!B104</f>
        <v>0</v>
      </c>
      <c r="L104" s="15">
        <v>103</v>
      </c>
      <c r="M104" s="19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D104">
        <v>2</v>
      </c>
      <c r="AE104">
        <v>1</v>
      </c>
      <c r="AG104">
        <v>86</v>
      </c>
      <c r="AH104" s="16">
        <f t="shared" ref="AH104:AH119" si="20">(G104 * 1.6605E-24) / (AI104 * 1E-24)</f>
        <v>54680.399802909342</v>
      </c>
      <c r="AI104" s="16">
        <f t="shared" si="19"/>
        <v>8.0777207480567693E-3</v>
      </c>
      <c r="AN104">
        <f t="shared" si="11"/>
        <v>17</v>
      </c>
      <c r="AO104" s="16">
        <f t="shared" si="12"/>
        <v>2.1456041850988394E-43</v>
      </c>
      <c r="AQ104" s="16">
        <f t="shared" si="17"/>
        <v>1.0137986959517725E+18</v>
      </c>
      <c r="AR104" s="16">
        <f t="shared" si="15"/>
        <v>43.564705882352946</v>
      </c>
    </row>
    <row r="105" spans="1:44" x14ac:dyDescent="0.3">
      <c r="A105">
        <v>104</v>
      </c>
      <c r="B105" t="s">
        <v>212</v>
      </c>
      <c r="C105" t="s">
        <v>19</v>
      </c>
      <c r="D105" t="s">
        <v>245</v>
      </c>
      <c r="E105" s="18">
        <v>255</v>
      </c>
      <c r="F105">
        <f t="shared" si="14"/>
        <v>151</v>
      </c>
      <c r="G105">
        <v>267</v>
      </c>
      <c r="H105">
        <f>(G105-(A105*'Atomic Particles'!C1))/'Atomic Particles'!C2+A105</f>
        <v>264.84926308398747</v>
      </c>
      <c r="I105" s="16">
        <f t="shared" si="18"/>
        <v>0.11755555555555555</v>
      </c>
      <c r="J105">
        <f>(('Atomic Particles'!C1)*A105)+(('Atomic Particles'!C2)*Elements!F105)</f>
        <v>257.0653839977723</v>
      </c>
      <c r="K105" s="17">
        <f>(E105^(1/3))*Constants!B105</f>
        <v>0</v>
      </c>
      <c r="L105" s="15">
        <v>104</v>
      </c>
      <c r="M105" s="19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2</v>
      </c>
      <c r="AD105">
        <v>2</v>
      </c>
      <c r="AG105">
        <v>86</v>
      </c>
      <c r="AH105" s="16">
        <f t="shared" si="20"/>
        <v>65152.645865657527</v>
      </c>
      <c r="AI105" s="16">
        <f t="shared" si="19"/>
        <v>6.8048425986287561E-3</v>
      </c>
      <c r="AN105">
        <f t="shared" si="11"/>
        <v>18</v>
      </c>
      <c r="AO105" s="16">
        <f t="shared" si="12"/>
        <v>1.8075022910477699E-43</v>
      </c>
      <c r="AQ105" s="16">
        <f t="shared" si="17"/>
        <v>1.1099033472391973E+18</v>
      </c>
      <c r="AR105" s="16">
        <f t="shared" si="15"/>
        <v>41.144444444444446</v>
      </c>
    </row>
    <row r="106" spans="1:44" x14ac:dyDescent="0.3">
      <c r="A106">
        <v>105</v>
      </c>
      <c r="B106" t="s">
        <v>213</v>
      </c>
      <c r="C106" t="s">
        <v>20</v>
      </c>
      <c r="D106" t="s">
        <v>245</v>
      </c>
      <c r="E106" s="18">
        <v>257</v>
      </c>
      <c r="F106">
        <f t="shared" si="14"/>
        <v>152</v>
      </c>
      <c r="G106">
        <v>268</v>
      </c>
      <c r="H106">
        <f>(G106-(A106*'Atomic Particles'!C1))/'Atomic Particles'!C2+A106</f>
        <v>265.84204839249901</v>
      </c>
      <c r="I106" s="16">
        <f t="shared" si="18"/>
        <v>0.11136842105263157</v>
      </c>
      <c r="J106">
        <f>(('Atomic Particles'!C1)*A106)+(('Atomic Particles'!C2)*Elements!F106)</f>
        <v>259.08132713041209</v>
      </c>
      <c r="K106" s="17">
        <f>(E106^(1/3))*Constants!B106</f>
        <v>0</v>
      </c>
      <c r="L106" s="15">
        <v>105</v>
      </c>
      <c r="M106" s="19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3</v>
      </c>
      <c r="AD106">
        <v>2</v>
      </c>
      <c r="AG106">
        <v>86</v>
      </c>
      <c r="AH106" s="16">
        <f t="shared" si="20"/>
        <v>76912.845223050725</v>
      </c>
      <c r="AI106" s="16">
        <f t="shared" si="19"/>
        <v>5.7859516015749957E-3</v>
      </c>
      <c r="AN106">
        <f t="shared" si="11"/>
        <v>19</v>
      </c>
      <c r="AO106" s="16">
        <f t="shared" si="12"/>
        <v>1.5368644644103503E-43</v>
      </c>
      <c r="AQ106" s="16">
        <f t="shared" si="17"/>
        <v>1.2094412721205156E+18</v>
      </c>
      <c r="AR106" s="16">
        <f t="shared" si="15"/>
        <v>38.978947368421053</v>
      </c>
    </row>
    <row r="107" spans="1:44" x14ac:dyDescent="0.3">
      <c r="A107">
        <v>106</v>
      </c>
      <c r="B107" t="s">
        <v>214</v>
      </c>
      <c r="C107" t="s">
        <v>27</v>
      </c>
      <c r="D107" t="s">
        <v>245</v>
      </c>
      <c r="E107" s="18">
        <v>262</v>
      </c>
      <c r="F107">
        <f t="shared" si="14"/>
        <v>156</v>
      </c>
      <c r="G107">
        <v>269</v>
      </c>
      <c r="H107">
        <f>(G107-(A107*'Atomic Particles'!C1))/'Atomic Particles'!C2+A107</f>
        <v>266.83483370101067</v>
      </c>
      <c r="I107" s="16">
        <f t="shared" si="18"/>
        <v>0.10580000000000001</v>
      </c>
      <c r="J107">
        <f>(('Atomic Particles'!C1)*A107)+(('Atomic Particles'!C2)*Elements!F107)</f>
        <v>264.12326802070515</v>
      </c>
      <c r="K107" s="17">
        <f>(E107^(1/3))*Constants!B107</f>
        <v>0</v>
      </c>
      <c r="L107" s="15">
        <v>106</v>
      </c>
      <c r="M107" s="19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4</v>
      </c>
      <c r="AD107">
        <v>2</v>
      </c>
      <c r="AG107">
        <v>86</v>
      </c>
      <c r="AH107" s="16">
        <f t="shared" si="20"/>
        <v>90042.085961796081</v>
      </c>
      <c r="AI107" s="16">
        <f t="shared" si="19"/>
        <v>4.9607302544003636E-3</v>
      </c>
      <c r="AN107">
        <f t="shared" si="11"/>
        <v>20</v>
      </c>
      <c r="AO107" s="16">
        <f t="shared" si="12"/>
        <v>1.3176691701738247E-43</v>
      </c>
      <c r="AQ107" s="16">
        <f t="shared" si="17"/>
        <v>1.3123741273927954E+18</v>
      </c>
      <c r="AR107" s="16">
        <f t="shared" si="15"/>
        <v>37.03</v>
      </c>
    </row>
    <row r="108" spans="1:44" x14ac:dyDescent="0.3">
      <c r="A108">
        <v>107</v>
      </c>
      <c r="B108" t="s">
        <v>215</v>
      </c>
      <c r="C108" t="s">
        <v>28</v>
      </c>
      <c r="D108" t="s">
        <v>245</v>
      </c>
      <c r="E108" s="18">
        <v>263</v>
      </c>
      <c r="F108">
        <f t="shared" si="14"/>
        <v>156</v>
      </c>
      <c r="G108">
        <v>270</v>
      </c>
      <c r="H108">
        <f>(G108-(A108*'Atomic Particles'!C1))/'Atomic Particles'!C2+A108</f>
        <v>267.82761900952221</v>
      </c>
      <c r="I108" s="16">
        <f t="shared" si="18"/>
        <v>0.10076190476190476</v>
      </c>
      <c r="J108">
        <f>(('Atomic Particles'!C1)*A108)+(('Atomic Particles'!C2)*Elements!F108)</f>
        <v>265.13054523412717</v>
      </c>
      <c r="K108" s="17">
        <f>(E108^(1/3))*Constants!B108</f>
        <v>0</v>
      </c>
      <c r="L108" s="15">
        <v>107</v>
      </c>
      <c r="M108" s="19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5</v>
      </c>
      <c r="AD108">
        <v>2</v>
      </c>
      <c r="AG108">
        <v>86</v>
      </c>
      <c r="AH108" s="16">
        <f t="shared" si="20"/>
        <v>104622.46035543324</v>
      </c>
      <c r="AI108" s="16">
        <f t="shared" si="19"/>
        <v>4.2852653099236474E-3</v>
      </c>
      <c r="AN108">
        <f t="shared" si="11"/>
        <v>21</v>
      </c>
      <c r="AO108" s="16">
        <f t="shared" si="12"/>
        <v>1.1382521716219193E-43</v>
      </c>
      <c r="AQ108" s="16">
        <f t="shared" si="17"/>
        <v>1.4186673206773609E+18</v>
      </c>
      <c r="AR108" s="16">
        <f t="shared" si="15"/>
        <v>35.266666666666666</v>
      </c>
    </row>
    <row r="109" spans="1:44" x14ac:dyDescent="0.3">
      <c r="A109">
        <v>108</v>
      </c>
      <c r="B109" t="s">
        <v>216</v>
      </c>
      <c r="C109" t="s">
        <v>35</v>
      </c>
      <c r="D109" t="s">
        <v>245</v>
      </c>
      <c r="E109" s="18">
        <v>264</v>
      </c>
      <c r="F109">
        <f t="shared" si="14"/>
        <v>156</v>
      </c>
      <c r="G109">
        <v>277</v>
      </c>
      <c r="H109">
        <f>(G109-(A109*'Atomic Particles'!C1))/'Atomic Particles'!C2+A109</f>
        <v>274.76885552044303</v>
      </c>
      <c r="I109" s="16">
        <f t="shared" si="18"/>
        <v>9.6181818181818188E-2</v>
      </c>
      <c r="J109">
        <f>(('Atomic Particles'!C1)*A109)+(('Atomic Particles'!C2)*Elements!F109)</f>
        <v>266.13782244754918</v>
      </c>
      <c r="K109" s="17">
        <f>(E109^(1/3))*Constants!B109</f>
        <v>0</v>
      </c>
      <c r="L109" s="15">
        <v>108</v>
      </c>
      <c r="M109" s="19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6</v>
      </c>
      <c r="AD109">
        <v>2</v>
      </c>
      <c r="AG109">
        <v>86</v>
      </c>
      <c r="AH109" s="16">
        <f t="shared" si="20"/>
        <v>123410.21021188366</v>
      </c>
      <c r="AI109" s="16">
        <f t="shared" si="19"/>
        <v>3.7270700634112427E-3</v>
      </c>
      <c r="AN109">
        <f t="shared" si="11"/>
        <v>22</v>
      </c>
      <c r="AO109" s="16">
        <f t="shared" si="12"/>
        <v>9.8998435024329458E-44</v>
      </c>
      <c r="AQ109" s="16">
        <f t="shared" si="17"/>
        <v>1.5282895122403789E+18</v>
      </c>
      <c r="AR109" s="16">
        <f t="shared" si="15"/>
        <v>33.663636363636364</v>
      </c>
    </row>
    <row r="110" spans="1:44" x14ac:dyDescent="0.3">
      <c r="A110">
        <v>109</v>
      </c>
      <c r="B110" t="s">
        <v>217</v>
      </c>
      <c r="C110" t="s">
        <v>36</v>
      </c>
      <c r="D110" t="s">
        <v>246</v>
      </c>
      <c r="E110" s="18">
        <v>272</v>
      </c>
      <c r="F110">
        <f t="shared" si="14"/>
        <v>163</v>
      </c>
      <c r="G110">
        <v>278</v>
      </c>
      <c r="H110">
        <f>(G110-(A110*'Atomic Particles'!C1))/'Atomic Particles'!C2+A110</f>
        <v>275.76164082895457</v>
      </c>
      <c r="I110" s="16">
        <f t="shared" si="18"/>
        <v>9.1999999999999998E-2</v>
      </c>
      <c r="J110">
        <f>(('Atomic Particles'!C1)*A110)+(('Atomic Particles'!C2)*Elements!F110)</f>
        <v>274.20576109549552</v>
      </c>
      <c r="K110" s="17">
        <f>(E110^(1/3))*Constants!B110</f>
        <v>0</v>
      </c>
      <c r="L110" s="15">
        <v>109</v>
      </c>
      <c r="M110" s="19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7</v>
      </c>
      <c r="AD110">
        <v>2</v>
      </c>
      <c r="AG110">
        <v>86</v>
      </c>
      <c r="AH110" s="16">
        <f t="shared" si="20"/>
        <v>141524.48543281326</v>
      </c>
      <c r="AI110" s="16">
        <f t="shared" si="19"/>
        <v>3.2617606669847047E-3</v>
      </c>
      <c r="AN110">
        <f t="shared" si="11"/>
        <v>23</v>
      </c>
      <c r="AO110" s="16">
        <f t="shared" si="12"/>
        <v>8.6638886836447712E-44</v>
      </c>
      <c r="AQ110" s="16">
        <f t="shared" si="17"/>
        <v>1.6412122006953295E+18</v>
      </c>
      <c r="AR110" s="16">
        <f t="shared" si="15"/>
        <v>32.200000000000003</v>
      </c>
    </row>
    <row r="111" spans="1:44" x14ac:dyDescent="0.3">
      <c r="A111">
        <v>110</v>
      </c>
      <c r="B111" t="s">
        <v>218</v>
      </c>
      <c r="C111" t="s">
        <v>43</v>
      </c>
      <c r="D111" t="s">
        <v>246</v>
      </c>
      <c r="E111" s="18">
        <v>270</v>
      </c>
      <c r="F111">
        <f t="shared" si="14"/>
        <v>160</v>
      </c>
      <c r="G111">
        <v>281</v>
      </c>
      <c r="H111">
        <f>(G111-(A111*'Atomic Particles'!C1))/'Atomic Particles'!C2+A111</f>
        <v>278.73724320493591</v>
      </c>
      <c r="I111" s="16">
        <f t="shared" si="18"/>
        <v>8.8166666666666671E-2</v>
      </c>
      <c r="J111">
        <f>(('Atomic Particles'!C1)*A111)+(('Atomic Particles'!C2)*Elements!F111)</f>
        <v>272.18704055126432</v>
      </c>
      <c r="K111" s="17">
        <f>(E111^(1/3))*Constants!B111</f>
        <v>0</v>
      </c>
      <c r="L111" s="15">
        <v>110</v>
      </c>
      <c r="M111" s="19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8</v>
      </c>
      <c r="AD111">
        <v>2</v>
      </c>
      <c r="AG111">
        <v>86</v>
      </c>
      <c r="AH111" s="16">
        <f t="shared" si="20"/>
        <v>162533.66392675613</v>
      </c>
      <c r="AI111" s="16">
        <f t="shared" si="19"/>
        <v>2.8707929712965072E-3</v>
      </c>
      <c r="AN111">
        <f>A111-AG111</f>
        <v>24</v>
      </c>
      <c r="AO111" s="16">
        <f t="shared" si="12"/>
        <v>7.6254002903577837E-44</v>
      </c>
      <c r="AQ111" s="16">
        <f t="shared" si="17"/>
        <v>1.7574093755735926E+18</v>
      </c>
      <c r="AR111" s="16">
        <f t="shared" si="15"/>
        <v>30.858333333333334</v>
      </c>
    </row>
    <row r="112" spans="1:44" x14ac:dyDescent="0.3">
      <c r="A112">
        <v>111</v>
      </c>
      <c r="B112" t="s">
        <v>219</v>
      </c>
      <c r="C112" t="s">
        <v>44</v>
      </c>
      <c r="D112" t="s">
        <v>246</v>
      </c>
      <c r="E112" s="18">
        <v>278</v>
      </c>
      <c r="F112">
        <f t="shared" si="14"/>
        <v>167</v>
      </c>
      <c r="G112">
        <v>282</v>
      </c>
      <c r="H112">
        <f>(G112-(A112*'Atomic Particles'!C1))/'Atomic Particles'!C2+A112</f>
        <v>279.73002851344745</v>
      </c>
      <c r="I112" s="16">
        <f t="shared" si="18"/>
        <v>8.4640000000000007E-2</v>
      </c>
      <c r="J112">
        <f>(('Atomic Particles'!C1)*A112)+(('Atomic Particles'!C2)*Elements!F112)</f>
        <v>280.2549791992106</v>
      </c>
      <c r="K112" s="17">
        <f>(E112^(1/3))*Constants!B112</f>
        <v>0</v>
      </c>
      <c r="L112" s="15">
        <v>111</v>
      </c>
      <c r="M112" s="19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9</v>
      </c>
      <c r="AD112">
        <v>2</v>
      </c>
      <c r="AG112">
        <v>86</v>
      </c>
      <c r="AH112" s="16">
        <f t="shared" si="20"/>
        <v>184362.42624031779</v>
      </c>
      <c r="AI112" s="16">
        <f t="shared" si="19"/>
        <v>2.5398938902529864E-3</v>
      </c>
      <c r="AN112">
        <f t="shared" ref="AN112:AN119" si="21">A112-AG112</f>
        <v>25</v>
      </c>
      <c r="AO112" s="16">
        <f t="shared" si="12"/>
        <v>6.7464661512899824E-44</v>
      </c>
      <c r="AQ112" s="16">
        <f t="shared" si="17"/>
        <v>1.8768572237540388E+18</v>
      </c>
      <c r="AR112" s="16">
        <f t="shared" si="15"/>
        <v>29.624000000000002</v>
      </c>
    </row>
    <row r="113" spans="1:44" x14ac:dyDescent="0.3">
      <c r="A113">
        <v>112</v>
      </c>
      <c r="B113" t="s">
        <v>220</v>
      </c>
      <c r="C113" t="s">
        <v>51</v>
      </c>
      <c r="D113" t="s">
        <v>246</v>
      </c>
      <c r="E113" s="18">
        <v>279</v>
      </c>
      <c r="F113">
        <f t="shared" si="14"/>
        <v>167</v>
      </c>
      <c r="G113">
        <v>285</v>
      </c>
      <c r="H113">
        <f>(G113-(A113*'Atomic Particles'!C1))/'Atomic Particles'!C2+A113</f>
        <v>282.70563088942879</v>
      </c>
      <c r="I113" s="16">
        <f t="shared" si="18"/>
        <v>8.1384615384615389E-2</v>
      </c>
      <c r="J113">
        <f>(('Atomic Particles'!C1)*A113)+(('Atomic Particles'!C2)*Elements!F113)</f>
        <v>281.26225641263261</v>
      </c>
      <c r="K113" s="17">
        <f>(E113^(1/3))*Constants!B113</f>
        <v>0</v>
      </c>
      <c r="L113" s="15">
        <v>112</v>
      </c>
      <c r="M113" s="19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G113">
        <v>86</v>
      </c>
      <c r="AH113" s="16">
        <f t="shared" si="20"/>
        <v>209588.85470092495</v>
      </c>
      <c r="AI113" s="16">
        <f t="shared" si="19"/>
        <v>2.2579564198454091E-3</v>
      </c>
      <c r="AN113">
        <f t="shared" si="21"/>
        <v>26</v>
      </c>
      <c r="AO113" s="16">
        <f t="shared" si="12"/>
        <v>5.9975838423933756E-44</v>
      </c>
      <c r="AQ113" s="16">
        <f t="shared" si="17"/>
        <v>1.9995338796827648E+18</v>
      </c>
      <c r="AR113" s="16">
        <f t="shared" si="15"/>
        <v>28.484615384615385</v>
      </c>
    </row>
    <row r="114" spans="1:44" x14ac:dyDescent="0.3">
      <c r="A114">
        <v>113</v>
      </c>
      <c r="B114" t="s">
        <v>221</v>
      </c>
      <c r="C114" t="s">
        <v>56</v>
      </c>
      <c r="D114" t="s">
        <v>247</v>
      </c>
      <c r="E114" s="18">
        <v>282</v>
      </c>
      <c r="F114">
        <f t="shared" si="14"/>
        <v>169</v>
      </c>
      <c r="G114">
        <v>286</v>
      </c>
      <c r="H114">
        <f>(G114-(A114*'Atomic Particles'!C1))/'Atomic Particles'!C2+A114</f>
        <v>283.69841619794039</v>
      </c>
      <c r="I114" s="16">
        <f t="shared" si="18"/>
        <v>7.8370370370370368E-2</v>
      </c>
      <c r="J114">
        <f>(('Atomic Particles'!C1)*A114)+(('Atomic Particles'!C2)*Elements!F114)</f>
        <v>284.28686546449012</v>
      </c>
      <c r="K114" s="17">
        <f>(E114^(1/3))*Constants!B114</f>
        <v>0</v>
      </c>
      <c r="L114" s="15">
        <v>113</v>
      </c>
      <c r="M114" s="19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1</v>
      </c>
      <c r="AG114">
        <v>86</v>
      </c>
      <c r="AH114" s="16">
        <f t="shared" si="20"/>
        <v>235537.79558736307</v>
      </c>
      <c r="AI114" s="16">
        <f t="shared" si="19"/>
        <v>2.0162496588529647E-3</v>
      </c>
      <c r="AN114">
        <f t="shared" si="21"/>
        <v>27</v>
      </c>
      <c r="AO114" s="16">
        <f t="shared" si="12"/>
        <v>5.3555623438452455E-44</v>
      </c>
      <c r="AQ114" s="16">
        <f t="shared" si="17"/>
        <v>2.1254192115030892E+18</v>
      </c>
      <c r="AR114" s="16">
        <f t="shared" si="15"/>
        <v>27.42962962962963</v>
      </c>
    </row>
    <row r="115" spans="1:44" x14ac:dyDescent="0.3">
      <c r="A115">
        <v>114</v>
      </c>
      <c r="B115" t="s">
        <v>222</v>
      </c>
      <c r="C115" t="s">
        <v>57</v>
      </c>
      <c r="D115" t="s">
        <v>241</v>
      </c>
      <c r="E115" s="18">
        <v>285</v>
      </c>
      <c r="F115">
        <f t="shared" si="14"/>
        <v>171</v>
      </c>
      <c r="G115">
        <v>289</v>
      </c>
      <c r="H115">
        <f>(G115-(A115*'Atomic Particles'!C1))/'Atomic Particles'!C2+A115</f>
        <v>286.67401857392167</v>
      </c>
      <c r="I115" s="16">
        <f t="shared" si="18"/>
        <v>7.5571428571428567E-2</v>
      </c>
      <c r="J115">
        <f>(('Atomic Particles'!C1)*A115)+(('Atomic Particles'!C2)*Elements!F115)</f>
        <v>287.31147451634769</v>
      </c>
      <c r="K115" s="17">
        <f>(E115^(1/3))*Constants!B115</f>
        <v>0</v>
      </c>
      <c r="L115" s="15">
        <v>114</v>
      </c>
      <c r="M115" s="19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2</v>
      </c>
      <c r="AG115">
        <v>86</v>
      </c>
      <c r="AH115" s="16">
        <f t="shared" si="20"/>
        <v>265445.40833115124</v>
      </c>
      <c r="AI115" s="16">
        <f t="shared" si="19"/>
        <v>1.807846302624039E-3</v>
      </c>
      <c r="AN115">
        <f t="shared" si="21"/>
        <v>28</v>
      </c>
      <c r="AO115" s="16">
        <f t="shared" si="12"/>
        <v>4.8020013490299729E-44</v>
      </c>
      <c r="AQ115" s="16">
        <f t="shared" si="17"/>
        <v>2.2544946368662164E+18</v>
      </c>
      <c r="AR115" s="16">
        <f t="shared" si="15"/>
        <v>26.45</v>
      </c>
    </row>
    <row r="116" spans="1:44" x14ac:dyDescent="0.3">
      <c r="A116">
        <v>115</v>
      </c>
      <c r="B116" t="s">
        <v>223</v>
      </c>
      <c r="C116" t="s">
        <v>68</v>
      </c>
      <c r="D116" t="s">
        <v>247</v>
      </c>
      <c r="E116" s="18">
        <v>290</v>
      </c>
      <c r="F116">
        <f t="shared" si="14"/>
        <v>175</v>
      </c>
      <c r="G116">
        <v>290</v>
      </c>
      <c r="H116">
        <f>(G116-(A116*'Atomic Particles'!C1))/'Atomic Particles'!C2+A116</f>
        <v>287.66680388243327</v>
      </c>
      <c r="I116" s="16">
        <f t="shared" si="18"/>
        <v>7.2965517241379313E-2</v>
      </c>
      <c r="J116">
        <f>(('Atomic Particles'!C1)*A116)+(('Atomic Particles'!C2)*Elements!F116)</f>
        <v>292.35341540664075</v>
      </c>
      <c r="K116" s="17">
        <f>(E116^(1/3))*Constants!B116</f>
        <v>0</v>
      </c>
      <c r="L116" s="15">
        <v>115</v>
      </c>
      <c r="M116" s="19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3</v>
      </c>
      <c r="AG116">
        <v>86</v>
      </c>
      <c r="AH116" s="16">
        <f t="shared" si="20"/>
        <v>295934.27788636199</v>
      </c>
      <c r="AI116" s="16">
        <f t="shared" si="19"/>
        <v>1.6272025107713685E-3</v>
      </c>
      <c r="AN116">
        <f t="shared" si="21"/>
        <v>29</v>
      </c>
      <c r="AO116" s="16">
        <f t="shared" si="12"/>
        <v>4.322175309110909E-44</v>
      </c>
      <c r="AQ116" s="16">
        <f t="shared" si="17"/>
        <v>2.3867429634516598E+18</v>
      </c>
      <c r="AR116" s="16">
        <f t="shared" si="15"/>
        <v>25.53793103448276</v>
      </c>
    </row>
    <row r="117" spans="1:44" x14ac:dyDescent="0.3">
      <c r="A117">
        <v>116</v>
      </c>
      <c r="B117" t="s">
        <v>224</v>
      </c>
      <c r="C117" t="s">
        <v>69</v>
      </c>
      <c r="D117" t="s">
        <v>247</v>
      </c>
      <c r="E117" s="18">
        <v>291</v>
      </c>
      <c r="F117">
        <f t="shared" si="14"/>
        <v>175</v>
      </c>
      <c r="G117">
        <v>293</v>
      </c>
      <c r="H117">
        <f>(G117-(A117*'Atomic Particles'!C1))/'Atomic Particles'!C2+A117</f>
        <v>290.64240625841455</v>
      </c>
      <c r="I117" s="16">
        <f t="shared" si="18"/>
        <v>7.0533333333333337E-2</v>
      </c>
      <c r="J117">
        <f>(('Atomic Particles'!C1)*A117)+(('Atomic Particles'!C2)*Elements!F117)</f>
        <v>293.36069262006276</v>
      </c>
      <c r="K117" s="17">
        <f>(E117^(1/3))*Constants!B117</f>
        <v>0</v>
      </c>
      <c r="L117" s="15">
        <v>116</v>
      </c>
      <c r="M117" s="19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4</v>
      </c>
      <c r="AG117">
        <v>86</v>
      </c>
      <c r="AH117" s="16">
        <f t="shared" si="20"/>
        <v>331005.08459282934</v>
      </c>
      <c r="AI117" s="16">
        <f t="shared" si="19"/>
        <v>1.4698460013038116E-3</v>
      </c>
      <c r="AN117">
        <f t="shared" si="21"/>
        <v>30</v>
      </c>
      <c r="AO117" s="16">
        <f t="shared" si="12"/>
        <v>3.9042049486631847E-44</v>
      </c>
      <c r="AQ117" s="16">
        <f t="shared" si="17"/>
        <v>2.5221482501967488E+18</v>
      </c>
      <c r="AR117" s="16">
        <f t="shared" si="15"/>
        <v>24.686666666666667</v>
      </c>
    </row>
    <row r="118" spans="1:44" x14ac:dyDescent="0.3">
      <c r="A118">
        <v>117</v>
      </c>
      <c r="B118" t="s">
        <v>225</v>
      </c>
      <c r="C118" t="s">
        <v>75</v>
      </c>
      <c r="D118" t="s">
        <v>248</v>
      </c>
      <c r="E118" s="18">
        <v>293</v>
      </c>
      <c r="F118">
        <f t="shared" si="14"/>
        <v>176</v>
      </c>
      <c r="G118">
        <v>294</v>
      </c>
      <c r="H118">
        <f>(G118-(A118*'Atomic Particles'!C1))/'Atomic Particles'!C2+A118</f>
        <v>291.63519156692615</v>
      </c>
      <c r="I118" s="16">
        <f t="shared" si="18"/>
        <v>6.8258064516129036E-2</v>
      </c>
      <c r="J118">
        <f>(('Atomic Particles'!C1)*A118)+(('Atomic Particles'!C2)*Elements!F118)</f>
        <v>295.37663575270255</v>
      </c>
      <c r="K118" s="17">
        <f>(E118^(1/3))*Constants!B118</f>
        <v>0</v>
      </c>
      <c r="L118" s="15">
        <v>117</v>
      </c>
      <c r="M118" s="19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5</v>
      </c>
      <c r="AG118">
        <v>86</v>
      </c>
      <c r="AH118" s="16">
        <f t="shared" si="20"/>
        <v>366467.69152836094</v>
      </c>
      <c r="AI118" s="16">
        <f t="shared" si="19"/>
        <v>1.3321419903730293E-3</v>
      </c>
      <c r="AN118">
        <f t="shared" si="21"/>
        <v>31</v>
      </c>
      <c r="AO118" s="16">
        <f t="shared" si="12"/>
        <v>3.5384355548288399E-44</v>
      </c>
      <c r="AQ118" s="16">
        <f t="shared" si="17"/>
        <v>2.6606956859898455E+18</v>
      </c>
      <c r="AR118" s="16">
        <f t="shared" si="15"/>
        <v>23.890322580645162</v>
      </c>
    </row>
    <row r="119" spans="1:44" x14ac:dyDescent="0.3">
      <c r="A119">
        <v>118</v>
      </c>
      <c r="B119" t="s">
        <v>226</v>
      </c>
      <c r="C119" t="s">
        <v>76</v>
      </c>
      <c r="D119" t="s">
        <v>249</v>
      </c>
      <c r="E119" s="18">
        <v>294</v>
      </c>
      <c r="F119">
        <f t="shared" si="14"/>
        <v>176</v>
      </c>
      <c r="G119">
        <v>294</v>
      </c>
      <c r="H119">
        <f>(G119-(A119*'Atomic Particles'!C1))/'Atomic Particles'!C2+A119</f>
        <v>291.63656834170285</v>
      </c>
      <c r="I119" s="16">
        <f t="shared" si="18"/>
        <v>6.6125000000000003E-2</v>
      </c>
      <c r="J119">
        <f>(('Atomic Particles'!C1)*A119)+(('Atomic Particles'!C2)*Elements!F119)</f>
        <v>296.38391296612463</v>
      </c>
      <c r="K119" s="17">
        <f>(E119^(1/3))*Constants!B119</f>
        <v>0</v>
      </c>
      <c r="L119" s="15">
        <v>118</v>
      </c>
      <c r="M119" s="19">
        <v>2</v>
      </c>
      <c r="N119">
        <v>2</v>
      </c>
      <c r="O119">
        <v>6</v>
      </c>
      <c r="P119">
        <v>2</v>
      </c>
      <c r="Q119">
        <v>6</v>
      </c>
      <c r="R119">
        <v>10</v>
      </c>
      <c r="S119">
        <v>2</v>
      </c>
      <c r="T119">
        <v>6</v>
      </c>
      <c r="U119">
        <v>10</v>
      </c>
      <c r="V119">
        <v>14</v>
      </c>
      <c r="W119">
        <v>2</v>
      </c>
      <c r="X119">
        <v>6</v>
      </c>
      <c r="Y119">
        <v>10</v>
      </c>
      <c r="Z119">
        <v>14</v>
      </c>
      <c r="AA119">
        <v>2</v>
      </c>
      <c r="AB119">
        <v>6</v>
      </c>
      <c r="AC119">
        <v>10</v>
      </c>
      <c r="AD119">
        <v>2</v>
      </c>
      <c r="AE119">
        <v>6</v>
      </c>
      <c r="AG119">
        <v>86</v>
      </c>
      <c r="AH119" s="16">
        <f t="shared" si="20"/>
        <v>403088.62797493656</v>
      </c>
      <c r="AI119" s="16">
        <f t="shared" si="19"/>
        <v>1.2111157847657136E-3</v>
      </c>
      <c r="AN119">
        <f t="shared" si="21"/>
        <v>32</v>
      </c>
      <c r="AO119" s="16">
        <f t="shared" si="12"/>
        <v>3.2169657474946893E-44</v>
      </c>
      <c r="AQ119" s="16">
        <f t="shared" si="17"/>
        <v>2.80237148317519E+18</v>
      </c>
      <c r="AR119" s="16">
        <f t="shared" si="15"/>
        <v>23.143750000000001</v>
      </c>
    </row>
    <row r="120" spans="1:44" x14ac:dyDescent="0.3">
      <c r="AI120" s="16"/>
    </row>
    <row r="121" spans="1:44" x14ac:dyDescent="0.3">
      <c r="A121" t="s">
        <v>256</v>
      </c>
      <c r="B121" t="s">
        <v>341</v>
      </c>
      <c r="C121" t="s">
        <v>342</v>
      </c>
      <c r="D121" t="s">
        <v>281</v>
      </c>
      <c r="E121" s="18" t="s">
        <v>255</v>
      </c>
      <c r="F121" t="s">
        <v>63</v>
      </c>
      <c r="G121" t="s">
        <v>399</v>
      </c>
      <c r="H121" t="s">
        <v>343</v>
      </c>
      <c r="I121" s="16" t="s">
        <v>501</v>
      </c>
      <c r="J121" t="s">
        <v>473</v>
      </c>
      <c r="K121" t="s">
        <v>472</v>
      </c>
      <c r="L121" s="15" t="s">
        <v>474</v>
      </c>
      <c r="M121" s="19" t="s">
        <v>478</v>
      </c>
      <c r="N121" t="s">
        <v>479</v>
      </c>
      <c r="O121" t="s">
        <v>475</v>
      </c>
      <c r="P121" t="s">
        <v>476</v>
      </c>
      <c r="Q121" t="s">
        <v>477</v>
      </c>
      <c r="R121" t="s">
        <v>484</v>
      </c>
      <c r="S121" t="s">
        <v>480</v>
      </c>
      <c r="T121" t="s">
        <v>489</v>
      </c>
      <c r="U121" t="s">
        <v>485</v>
      </c>
      <c r="V121" t="s">
        <v>492</v>
      </c>
      <c r="W121" t="s">
        <v>481</v>
      </c>
      <c r="X121" t="s">
        <v>490</v>
      </c>
      <c r="Y121" t="s">
        <v>486</v>
      </c>
      <c r="Z121" t="s">
        <v>493</v>
      </c>
      <c r="AA121" t="s">
        <v>482</v>
      </c>
      <c r="AB121" t="s">
        <v>491</v>
      </c>
      <c r="AC121" t="s">
        <v>487</v>
      </c>
      <c r="AD121" t="s">
        <v>483</v>
      </c>
      <c r="AE121" t="s">
        <v>497</v>
      </c>
      <c r="AF121" t="s">
        <v>498</v>
      </c>
      <c r="AG121" t="s">
        <v>229</v>
      </c>
      <c r="AH121" t="s">
        <v>500</v>
      </c>
      <c r="AI121" t="s">
        <v>502</v>
      </c>
      <c r="AN121" t="s">
        <v>499</v>
      </c>
      <c r="AO121" t="s">
        <v>503</v>
      </c>
      <c r="AP121" t="s">
        <v>496</v>
      </c>
      <c r="AQ121" t="s">
        <v>504</v>
      </c>
      <c r="AR121" t="s">
        <v>505</v>
      </c>
    </row>
    <row r="123" spans="1:44" x14ac:dyDescent="0.3">
      <c r="B123" t="s">
        <v>478</v>
      </c>
      <c r="D123" t="s">
        <v>488</v>
      </c>
    </row>
    <row r="124" spans="1:44" x14ac:dyDescent="0.3">
      <c r="B124" t="s">
        <v>479</v>
      </c>
      <c r="D124" t="s">
        <v>475</v>
      </c>
    </row>
    <row r="125" spans="1:44" x14ac:dyDescent="0.3">
      <c r="B125" t="s">
        <v>476</v>
      </c>
      <c r="D125" t="s">
        <v>477</v>
      </c>
    </row>
    <row r="126" spans="1:44" x14ac:dyDescent="0.3">
      <c r="B126" t="s">
        <v>480</v>
      </c>
      <c r="C126" t="s">
        <v>484</v>
      </c>
      <c r="D126" t="s">
        <v>489</v>
      </c>
    </row>
    <row r="127" spans="1:44" x14ac:dyDescent="0.3">
      <c r="B127" t="s">
        <v>481</v>
      </c>
      <c r="C127" t="s">
        <v>485</v>
      </c>
      <c r="D127" t="s">
        <v>490</v>
      </c>
    </row>
    <row r="128" spans="1:44" x14ac:dyDescent="0.3">
      <c r="B128" t="s">
        <v>482</v>
      </c>
      <c r="C128" t="s">
        <v>486</v>
      </c>
      <c r="D128" t="s">
        <v>491</v>
      </c>
    </row>
    <row r="129" spans="2:3" x14ac:dyDescent="0.3">
      <c r="B129" t="s">
        <v>483</v>
      </c>
      <c r="C129" t="s">
        <v>487</v>
      </c>
    </row>
    <row r="130" spans="2:3" x14ac:dyDescent="0.3">
      <c r="C130" t="s">
        <v>492</v>
      </c>
    </row>
    <row r="131" spans="2:3" x14ac:dyDescent="0.3">
      <c r="C131" t="s">
        <v>493</v>
      </c>
    </row>
  </sheetData>
  <dataValidations count="26">
    <dataValidation type="list" allowBlank="1" showInputMessage="1" showErrorMessage="1" sqref="E94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5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6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7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8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9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100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1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2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3" xr:uid="{9784C435-8CA2-481D-A2C1-EF221E357825}">
      <formula1>"250, 251, 252, 253, 254, 255, 256, 257, 258, 259, 260, 262"</formula1>
    </dataValidation>
    <dataValidation type="list" allowBlank="1" showInputMessage="1" showErrorMessage="1" sqref="E104" xr:uid="{6C317ABC-C90D-449B-8C15-5FC7704E62B5}">
      <formula1>"251, 252, 253, 254, 255, 256, 257, 258, 259, 260, 261, 262, 264, 266"</formula1>
    </dataValidation>
    <dataValidation type="list" allowBlank="1" showInputMessage="1" showErrorMessage="1" sqref="E105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6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7" xr:uid="{4B5D9ED5-A772-4DA6-846B-0B55F19A13D4}">
      <formula1>"258, 259, 260, 261, 262, 263, 264, 265, 266, 267, 268, 269, 270, 271"</formula1>
    </dataValidation>
    <dataValidation type="list" allowBlank="1" showInputMessage="1" showErrorMessage="1" sqref="E108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9" xr:uid="{A9B7CFC2-5D02-4AF9-B954-576D40BDC951}">
      <formula1>"263, 264, 265, 266, 267, 268, 269, 270, 271, 272, 273, 274, 275, 276, 277"</formula1>
    </dataValidation>
    <dataValidation type="list" allowBlank="1" showInputMessage="1" showErrorMessage="1" sqref="E110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1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2" xr:uid="{82001630-2EBE-465D-92E4-1C1EE6E96735}">
      <formula1>"272, 274, 278, 279, 280, 281, 282, 283, 284, 285, 286"</formula1>
    </dataValidation>
    <dataValidation type="list" allowBlank="1" showInputMessage="1" showErrorMessage="1" sqref="E113" xr:uid="{B4DB6032-2FFE-4DE0-8E5A-FE529F2451A0}">
      <formula1>"277, 278, 279, 280, 281, 282, 283, 284, 285, 286, 287"</formula1>
    </dataValidation>
    <dataValidation type="list" allowBlank="1" showInputMessage="1" showErrorMessage="1" sqref="E114" xr:uid="{A252354A-FBC0-4E65-93C3-CB6589F0C164}">
      <formula1>"278, 279, 280, 281, 282, 283, 284, 285, 286"</formula1>
    </dataValidation>
    <dataValidation type="list" allowBlank="1" showInputMessage="1" showErrorMessage="1" sqref="E115" xr:uid="{8A284C63-CFE5-49DA-BB2B-38B6332BAF35}">
      <formula1>"284, 285, 286, 287, 288, 289"</formula1>
    </dataValidation>
    <dataValidation type="list" allowBlank="1" showInputMessage="1" showErrorMessage="1" sqref="E116" xr:uid="{83D1F027-EE60-4736-9D49-35CE5D4E5091}">
      <formula1>"287, 288, 289, 290"</formula1>
    </dataValidation>
    <dataValidation type="list" allowBlank="1" showInputMessage="1" showErrorMessage="1" sqref="E117" xr:uid="{19488B37-C6E9-488D-AB1E-6F3E41CA61EC}">
      <formula1>"288, 289, 290, 291, 292, 293"</formula1>
    </dataValidation>
    <dataValidation type="list" allowBlank="1" showInputMessage="1" showErrorMessage="1" sqref="E118" xr:uid="{EA398B08-AD0F-494B-8AE1-A8FDFBE2C2AA}">
      <formula1>"290, 293, 294"</formula1>
    </dataValidation>
    <dataValidation type="list" allowBlank="1" showInputMessage="1" showErrorMessage="1" sqref="E119" xr:uid="{A0F22823-E33E-4A48-936B-E53FBBB4DAD5}">
      <formula1>"294, 295"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E2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E3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E4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E5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E6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E7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E8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E9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E10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E11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E12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E13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E14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E15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E16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E17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E18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E19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E20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E21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E22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E23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E24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E25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E26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E27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E28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E29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E30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E31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E32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E33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E34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E35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E36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E37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E38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E41 E39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E42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E40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E43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E44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E45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E46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E47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E48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E49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E50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E51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E52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E53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E54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E55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E56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E57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E58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E59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E60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E61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E62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E63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E64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E65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E66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E67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E68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E69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E70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E71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E72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E73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E74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E75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E76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E77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E78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E79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E80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E81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E82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E83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E84:E85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E86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E87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E88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E89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E90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E91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E92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2026-02-07T23:39:53Z</dcterms:modified>
</cp:coreProperties>
</file>