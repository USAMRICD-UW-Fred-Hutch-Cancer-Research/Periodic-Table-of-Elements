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EA82206C-4EF3-491E-A948-0CBC9D443AE3}" xr6:coauthVersionLast="47" xr6:coauthVersionMax="47" xr10:uidLastSave="{00000000-0000-0000-0000-000000000000}"/>
  <bookViews>
    <workbookView xWindow="228" yWindow="60" windowWidth="48900" windowHeight="12900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" i="2" l="1"/>
  <c r="AQ3" i="2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61" i="2"/>
  <c r="AQ62" i="2"/>
  <c r="AQ63" i="2"/>
  <c r="AQ64" i="2"/>
  <c r="AQ65" i="2"/>
  <c r="AQ66" i="2"/>
  <c r="AQ67" i="2"/>
  <c r="AQ68" i="2"/>
  <c r="AQ69" i="2"/>
  <c r="AQ70" i="2"/>
  <c r="AQ71" i="2"/>
  <c r="AQ72" i="2"/>
  <c r="AQ73" i="2"/>
  <c r="AQ74" i="2"/>
  <c r="AQ75" i="2"/>
  <c r="AQ76" i="2"/>
  <c r="AQ77" i="2"/>
  <c r="AQ78" i="2"/>
  <c r="AQ79" i="2"/>
  <c r="AQ80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09" i="2"/>
  <c r="AQ110" i="2"/>
  <c r="AQ111" i="2"/>
  <c r="AQ112" i="2"/>
  <c r="AQ113" i="2"/>
  <c r="AQ114" i="2"/>
  <c r="AQ115" i="2"/>
  <c r="AQ116" i="2"/>
  <c r="AQ117" i="2"/>
  <c r="AQ118" i="2"/>
  <c r="AQ1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1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AO103" i="2" s="1"/>
  <c r="AV103" i="2" s="1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AL87" i="2" s="1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1" i="2"/>
  <c r="AZ2" i="2"/>
  <c r="AZ3" i="2"/>
  <c r="AZ4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Z48" i="2"/>
  <c r="AZ49" i="2"/>
  <c r="AZ50" i="2"/>
  <c r="AZ51" i="2"/>
  <c r="AZ52" i="2"/>
  <c r="AZ53" i="2"/>
  <c r="AZ54" i="2"/>
  <c r="AZ55" i="2"/>
  <c r="AZ56" i="2"/>
  <c r="AZ57" i="2"/>
  <c r="AZ58" i="2"/>
  <c r="AZ59" i="2"/>
  <c r="AZ60" i="2"/>
  <c r="AZ61" i="2"/>
  <c r="AZ62" i="2"/>
  <c r="AZ63" i="2"/>
  <c r="AZ64" i="2"/>
  <c r="AZ65" i="2"/>
  <c r="AZ66" i="2"/>
  <c r="AZ67" i="2"/>
  <c r="AZ68" i="2"/>
  <c r="AZ69" i="2"/>
  <c r="AZ70" i="2"/>
  <c r="AZ71" i="2"/>
  <c r="AZ72" i="2"/>
  <c r="AZ73" i="2"/>
  <c r="AZ74" i="2"/>
  <c r="AZ75" i="2"/>
  <c r="AZ76" i="2"/>
  <c r="AZ77" i="2"/>
  <c r="AZ78" i="2"/>
  <c r="AZ79" i="2"/>
  <c r="AZ80" i="2"/>
  <c r="AZ81" i="2"/>
  <c r="AZ82" i="2"/>
  <c r="AZ83" i="2"/>
  <c r="AZ84" i="2"/>
  <c r="AZ85" i="2"/>
  <c r="AZ86" i="2"/>
  <c r="AZ87" i="2"/>
  <c r="AZ88" i="2"/>
  <c r="AZ89" i="2"/>
  <c r="AZ90" i="2"/>
  <c r="AZ91" i="2"/>
  <c r="AZ92" i="2"/>
  <c r="AZ93" i="2"/>
  <c r="AZ94" i="2"/>
  <c r="AZ95" i="2"/>
  <c r="AZ96" i="2"/>
  <c r="AZ97" i="2"/>
  <c r="AZ98" i="2"/>
  <c r="AZ99" i="2"/>
  <c r="AZ100" i="2"/>
  <c r="AZ101" i="2"/>
  <c r="AZ102" i="2"/>
  <c r="AZ103" i="2"/>
  <c r="AZ104" i="2"/>
  <c r="AZ105" i="2"/>
  <c r="AZ106" i="2"/>
  <c r="AZ107" i="2"/>
  <c r="AZ108" i="2"/>
  <c r="AZ109" i="2"/>
  <c r="AZ110" i="2"/>
  <c r="AZ111" i="2"/>
  <c r="AZ112" i="2"/>
  <c r="AZ113" i="2"/>
  <c r="AZ114" i="2"/>
  <c r="AZ115" i="2"/>
  <c r="AZ116" i="2"/>
  <c r="AZ117" i="2"/>
  <c r="AZ118" i="2"/>
  <c r="AZ1" i="2"/>
  <c r="AM1" i="2"/>
  <c r="AG1" i="2"/>
  <c r="AJ1" i="2"/>
  <c r="AK118" i="2"/>
  <c r="AR83" i="2"/>
  <c r="AG91" i="2"/>
  <c r="AG92" i="2"/>
  <c r="AG93" i="2"/>
  <c r="AG94" i="2"/>
  <c r="AG95" i="2"/>
  <c r="AG96" i="2"/>
  <c r="AG97" i="2"/>
  <c r="AG98" i="2"/>
  <c r="AR98" i="2" s="1"/>
  <c r="AG99" i="2"/>
  <c r="AG100" i="2"/>
  <c r="AG101" i="2"/>
  <c r="AG102" i="2"/>
  <c r="AN102" i="2" s="1"/>
  <c r="AG103" i="2"/>
  <c r="AG104" i="2"/>
  <c r="AG105" i="2"/>
  <c r="AG106" i="2"/>
  <c r="AN106" i="2" s="1"/>
  <c r="AG107" i="2"/>
  <c r="AG108" i="2"/>
  <c r="AN108" i="2" s="1"/>
  <c r="AG109" i="2"/>
  <c r="AG110" i="2"/>
  <c r="AG111" i="2"/>
  <c r="AG112" i="2"/>
  <c r="AG113" i="2"/>
  <c r="AG114" i="2"/>
  <c r="AO114" i="2" s="1"/>
  <c r="AV114" i="2" s="1"/>
  <c r="AG115" i="2"/>
  <c r="AG116" i="2"/>
  <c r="AG117" i="2"/>
  <c r="AN117" i="2" s="1"/>
  <c r="AG118" i="2"/>
  <c r="AG64" i="2"/>
  <c r="AG65" i="2"/>
  <c r="AG66" i="2"/>
  <c r="AG67" i="2"/>
  <c r="AG68" i="2"/>
  <c r="AG69" i="2"/>
  <c r="AG70" i="2"/>
  <c r="AG71" i="2"/>
  <c r="AG72" i="2"/>
  <c r="AG73" i="2"/>
  <c r="AG74" i="2"/>
  <c r="AK74" i="2" s="1"/>
  <c r="AG75" i="2"/>
  <c r="AN75" i="2" s="1"/>
  <c r="AG76" i="2"/>
  <c r="AN76" i="2" s="1"/>
  <c r="AG77" i="2"/>
  <c r="AG78" i="2"/>
  <c r="AG79" i="2"/>
  <c r="AN79" i="2" s="1"/>
  <c r="AG80" i="2"/>
  <c r="AN80" i="2" s="1"/>
  <c r="AG81" i="2"/>
  <c r="AG82" i="2"/>
  <c r="AG83" i="2"/>
  <c r="AG84" i="2"/>
  <c r="AG85" i="2"/>
  <c r="AK85" i="2" s="1"/>
  <c r="AG86" i="2"/>
  <c r="AK86" i="2" s="1"/>
  <c r="AG87" i="2"/>
  <c r="AN87" i="2" s="1"/>
  <c r="AG88" i="2"/>
  <c r="AN88" i="2" s="1"/>
  <c r="AG89" i="2"/>
  <c r="AG90" i="2"/>
  <c r="AG39" i="2"/>
  <c r="AG40" i="2"/>
  <c r="AG41" i="2"/>
  <c r="AG42" i="2"/>
  <c r="AG43" i="2"/>
  <c r="AN43" i="2" s="1"/>
  <c r="AG44" i="2"/>
  <c r="AG45" i="2"/>
  <c r="AG46" i="2"/>
  <c r="AG47" i="2"/>
  <c r="AN47" i="2" s="1"/>
  <c r="AG48" i="2"/>
  <c r="AG49" i="2"/>
  <c r="AN49" i="2" s="1"/>
  <c r="AG50" i="2"/>
  <c r="AG51" i="2"/>
  <c r="AG52" i="2"/>
  <c r="AG53" i="2"/>
  <c r="AK53" i="2" s="1"/>
  <c r="AG54" i="2"/>
  <c r="AN54" i="2" s="1"/>
  <c r="AG55" i="2"/>
  <c r="AG56" i="2"/>
  <c r="AN56" i="2" s="1"/>
  <c r="AG57" i="2"/>
  <c r="AG58" i="2"/>
  <c r="AG59" i="2"/>
  <c r="AG60" i="2"/>
  <c r="AG61" i="2"/>
  <c r="AG62" i="2"/>
  <c r="AN62" i="2" s="1"/>
  <c r="AG63" i="2"/>
  <c r="AN63" i="2" s="1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L20" i="2" s="1"/>
  <c r="AG21" i="2"/>
  <c r="AN21" i="2" s="1"/>
  <c r="AG22" i="2"/>
  <c r="AK22" i="2" s="1"/>
  <c r="AG23" i="2"/>
  <c r="AN23" i="2" s="1"/>
  <c r="AG24" i="2"/>
  <c r="AG25" i="2"/>
  <c r="AG26" i="2"/>
  <c r="AG27" i="2"/>
  <c r="AG28" i="2"/>
  <c r="AG29" i="2"/>
  <c r="AG30" i="2"/>
  <c r="AG31" i="2"/>
  <c r="AG32" i="2"/>
  <c r="AG33" i="2"/>
  <c r="AG34" i="2"/>
  <c r="AN34" i="2" s="1"/>
  <c r="AG35" i="2"/>
  <c r="AG36" i="2"/>
  <c r="AG37" i="2"/>
  <c r="AN37" i="2" s="1"/>
  <c r="AG38" i="2"/>
  <c r="AG2" i="2"/>
  <c r="AN2" i="2" s="1"/>
  <c r="AG3" i="2"/>
  <c r="AG4" i="2"/>
  <c r="AK4" i="2" s="1"/>
  <c r="AG5" i="2"/>
  <c r="AK5" i="2" s="1"/>
  <c r="B1" i="10"/>
  <c r="G103" i="2"/>
  <c r="AU103" i="2" s="1"/>
  <c r="G102" i="2"/>
  <c r="AU102" i="2" s="1"/>
  <c r="G69" i="2"/>
  <c r="AU69" i="2" s="1"/>
  <c r="G21" i="2"/>
  <c r="AU21" i="2" s="1"/>
  <c r="G35" i="2"/>
  <c r="AU35" i="2" s="1"/>
  <c r="G36" i="2"/>
  <c r="AU36" i="2" s="1"/>
  <c r="G37" i="2"/>
  <c r="AU37" i="2" s="1"/>
  <c r="G1" i="2"/>
  <c r="AU1" i="2" s="1"/>
  <c r="AO5" i="2"/>
  <c r="AV5" i="2" s="1"/>
  <c r="AM109" i="2"/>
  <c r="AM110" i="2"/>
  <c r="AM111" i="2"/>
  <c r="AM112" i="2"/>
  <c r="AM113" i="2"/>
  <c r="AM114" i="2"/>
  <c r="AM115" i="2"/>
  <c r="AM116" i="2"/>
  <c r="AM117" i="2"/>
  <c r="AM11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N10" i="2"/>
  <c r="AN20" i="2"/>
  <c r="AO36" i="2"/>
  <c r="AV36" i="2" s="1"/>
  <c r="AN50" i="2"/>
  <c r="AN65" i="2"/>
  <c r="AN66" i="2"/>
  <c r="AN67" i="2"/>
  <c r="AN82" i="2"/>
  <c r="AN101" i="2"/>
  <c r="AN77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G40" i="2" s="1"/>
  <c r="AU40" i="2" s="1"/>
  <c r="F39" i="2"/>
  <c r="G39" i="2" s="1"/>
  <c r="AU39" i="2" s="1"/>
  <c r="F38" i="2"/>
  <c r="AJ38" i="2" s="1"/>
  <c r="F3" i="2"/>
  <c r="AJ3" i="2" s="1"/>
  <c r="F4" i="2"/>
  <c r="AJ4" i="2" s="1"/>
  <c r="F5" i="2"/>
  <c r="AJ5" i="2" s="1"/>
  <c r="F6" i="2"/>
  <c r="AJ6" i="2" s="1"/>
  <c r="F7" i="2"/>
  <c r="AJ7" i="2" s="1"/>
  <c r="F8" i="2"/>
  <c r="G8" i="2" s="1"/>
  <c r="AU8" i="2" s="1"/>
  <c r="F9" i="2"/>
  <c r="G9" i="2" s="1"/>
  <c r="AU9" i="2" s="1"/>
  <c r="F10" i="2"/>
  <c r="G10" i="2" s="1"/>
  <c r="AU10" i="2" s="1"/>
  <c r="F11" i="2"/>
  <c r="G11" i="2" s="1"/>
  <c r="AU11" i="2" s="1"/>
  <c r="F12" i="2"/>
  <c r="AJ12" i="2" s="1"/>
  <c r="F13" i="2"/>
  <c r="AJ13" i="2" s="1"/>
  <c r="F14" i="2"/>
  <c r="G14" i="2" s="1"/>
  <c r="AU14" i="2" s="1"/>
  <c r="F15" i="2"/>
  <c r="G15" i="2" s="1"/>
  <c r="AU15" i="2" s="1"/>
  <c r="F16" i="2"/>
  <c r="G16" i="2" s="1"/>
  <c r="AU16" i="2" s="1"/>
  <c r="F17" i="2"/>
  <c r="AJ17" i="2" s="1"/>
  <c r="F18" i="2"/>
  <c r="F19" i="2"/>
  <c r="AJ19" i="2" s="1"/>
  <c r="F20" i="2"/>
  <c r="AJ20" i="2" s="1"/>
  <c r="F21" i="2"/>
  <c r="AJ21" i="2" s="1"/>
  <c r="F22" i="2"/>
  <c r="AJ22" i="2" s="1"/>
  <c r="F23" i="2"/>
  <c r="AJ23" i="2" s="1"/>
  <c r="F24" i="2"/>
  <c r="G24" i="2" s="1"/>
  <c r="AU24" i="2" s="1"/>
  <c r="F25" i="2"/>
  <c r="G25" i="2" s="1"/>
  <c r="AU25" i="2" s="1"/>
  <c r="F26" i="2"/>
  <c r="G26" i="2" s="1"/>
  <c r="AU26" i="2" s="1"/>
  <c r="F27" i="2"/>
  <c r="G27" i="2" s="1"/>
  <c r="AU27" i="2" s="1"/>
  <c r="F28" i="2"/>
  <c r="AJ28" i="2" s="1"/>
  <c r="F29" i="2"/>
  <c r="AJ29" i="2" s="1"/>
  <c r="F30" i="2"/>
  <c r="G30" i="2" s="1"/>
  <c r="AU30" i="2" s="1"/>
  <c r="F31" i="2"/>
  <c r="G31" i="2" s="1"/>
  <c r="AU31" i="2" s="1"/>
  <c r="F32" i="2"/>
  <c r="AJ32" i="2" s="1"/>
  <c r="F33" i="2"/>
  <c r="AJ33" i="2" s="1"/>
  <c r="F34" i="2"/>
  <c r="G34" i="2" s="1"/>
  <c r="AU34" i="2" s="1"/>
  <c r="F35" i="2"/>
  <c r="AJ35" i="2" s="1"/>
  <c r="F36" i="2"/>
  <c r="AJ36" i="2" s="1"/>
  <c r="F37" i="2"/>
  <c r="AJ37" i="2" s="1"/>
  <c r="F41" i="2"/>
  <c r="F42" i="2"/>
  <c r="AJ42" i="2" s="1"/>
  <c r="F43" i="2"/>
  <c r="AJ43" i="2" s="1"/>
  <c r="F44" i="2"/>
  <c r="AJ44" i="2" s="1"/>
  <c r="F45" i="2"/>
  <c r="AJ45" i="2" s="1"/>
  <c r="F46" i="2"/>
  <c r="G46" i="2" s="1"/>
  <c r="AU46" i="2" s="1"/>
  <c r="F47" i="2"/>
  <c r="AJ47" i="2" s="1"/>
  <c r="F48" i="2"/>
  <c r="AJ48" i="2" s="1"/>
  <c r="F49" i="2"/>
  <c r="G49" i="2" s="1"/>
  <c r="AU49" i="2" s="1"/>
  <c r="F50" i="2"/>
  <c r="AJ50" i="2" s="1"/>
  <c r="F51" i="2"/>
  <c r="AJ51" i="2" s="1"/>
  <c r="F52" i="2"/>
  <c r="AJ52" i="2" s="1"/>
  <c r="F53" i="2"/>
  <c r="AJ53" i="2" s="1"/>
  <c r="F54" i="2"/>
  <c r="AJ54" i="2" s="1"/>
  <c r="F55" i="2"/>
  <c r="G55" i="2" s="1"/>
  <c r="AU55" i="2" s="1"/>
  <c r="F56" i="2"/>
  <c r="G56" i="2" s="1"/>
  <c r="AU56" i="2" s="1"/>
  <c r="F57" i="2"/>
  <c r="F58" i="2"/>
  <c r="AJ58" i="2" s="1"/>
  <c r="F59" i="2"/>
  <c r="AJ59" i="2" s="1"/>
  <c r="F60" i="2"/>
  <c r="AJ60" i="2" s="1"/>
  <c r="F61" i="2"/>
  <c r="AJ61" i="2" s="1"/>
  <c r="F62" i="2"/>
  <c r="G62" i="2" s="1"/>
  <c r="AU62" i="2" s="1"/>
  <c r="F63" i="2"/>
  <c r="AJ63" i="2" s="1"/>
  <c r="F64" i="2"/>
  <c r="AJ64" i="2" s="1"/>
  <c r="F65" i="2"/>
  <c r="G65" i="2" s="1"/>
  <c r="AU65" i="2" s="1"/>
  <c r="F66" i="2"/>
  <c r="AJ66" i="2" s="1"/>
  <c r="F67" i="2"/>
  <c r="AJ67" i="2" s="1"/>
  <c r="F68" i="2"/>
  <c r="G68" i="2" s="1"/>
  <c r="AU68" i="2" s="1"/>
  <c r="F69" i="2"/>
  <c r="AJ69" i="2" s="1"/>
  <c r="F70" i="2"/>
  <c r="AJ70" i="2" s="1"/>
  <c r="F71" i="2"/>
  <c r="AJ71" i="2" s="1"/>
  <c r="F72" i="2"/>
  <c r="AJ72" i="2" s="1"/>
  <c r="F73" i="2"/>
  <c r="AJ73" i="2" s="1"/>
  <c r="F74" i="2"/>
  <c r="F75" i="2"/>
  <c r="G75" i="2" s="1"/>
  <c r="AU75" i="2" s="1"/>
  <c r="F76" i="2"/>
  <c r="G76" i="2" s="1"/>
  <c r="AU76" i="2" s="1"/>
  <c r="F77" i="2"/>
  <c r="G77" i="2" s="1"/>
  <c r="AU77" i="2" s="1"/>
  <c r="F78" i="2"/>
  <c r="AJ78" i="2" s="1"/>
  <c r="F79" i="2"/>
  <c r="AJ79" i="2" s="1"/>
  <c r="F80" i="2"/>
  <c r="AJ80" i="2" s="1"/>
  <c r="F81" i="2"/>
  <c r="G81" i="2" s="1"/>
  <c r="AU81" i="2" s="1"/>
  <c r="F82" i="2"/>
  <c r="AJ82" i="2" s="1"/>
  <c r="F83" i="2"/>
  <c r="G83" i="2" s="1"/>
  <c r="AU83" i="2" s="1"/>
  <c r="F84" i="2"/>
  <c r="G84" i="2" s="1"/>
  <c r="AU84" i="2" s="1"/>
  <c r="F85" i="2"/>
  <c r="AJ85" i="2" s="1"/>
  <c r="F86" i="2"/>
  <c r="G86" i="2" s="1"/>
  <c r="AU86" i="2" s="1"/>
  <c r="F87" i="2"/>
  <c r="AJ87" i="2" s="1"/>
  <c r="F88" i="2"/>
  <c r="AJ88" i="2" s="1"/>
  <c r="F89" i="2"/>
  <c r="AJ89" i="2" s="1"/>
  <c r="F90" i="2"/>
  <c r="AJ90" i="2" s="1"/>
  <c r="F91" i="2"/>
  <c r="AJ91" i="2" s="1"/>
  <c r="F92" i="2"/>
  <c r="G92" i="2" s="1"/>
  <c r="AU92" i="2" s="1"/>
  <c r="F93" i="2"/>
  <c r="G93" i="2" s="1"/>
  <c r="AU93" i="2" s="1"/>
  <c r="F94" i="2"/>
  <c r="G94" i="2" s="1"/>
  <c r="AU94" i="2" s="1"/>
  <c r="F95" i="2"/>
  <c r="F96" i="2"/>
  <c r="AJ96" i="2" s="1"/>
  <c r="F97" i="2"/>
  <c r="AJ97" i="2" s="1"/>
  <c r="F98" i="2"/>
  <c r="AJ98" i="2" s="1"/>
  <c r="F99" i="2"/>
  <c r="G99" i="2" s="1"/>
  <c r="AU99" i="2" s="1"/>
  <c r="F100" i="2"/>
  <c r="G100" i="2" s="1"/>
  <c r="AU100" i="2" s="1"/>
  <c r="F101" i="2"/>
  <c r="F102" i="2"/>
  <c r="AJ102" i="2" s="1"/>
  <c r="F103" i="2"/>
  <c r="AJ103" i="2" s="1"/>
  <c r="F104" i="2"/>
  <c r="AJ104" i="2" s="1"/>
  <c r="F105" i="2"/>
  <c r="AJ105" i="2" s="1"/>
  <c r="F106" i="2"/>
  <c r="AJ106" i="2" s="1"/>
  <c r="F107" i="2"/>
  <c r="G107" i="2" s="1"/>
  <c r="AU107" i="2" s="1"/>
  <c r="F108" i="2"/>
  <c r="G108" i="2" s="1"/>
  <c r="AU108" i="2" s="1"/>
  <c r="F109" i="2"/>
  <c r="G109" i="2" s="1"/>
  <c r="AU109" i="2" s="1"/>
  <c r="F110" i="2"/>
  <c r="G110" i="2" s="1"/>
  <c r="AU110" i="2" s="1"/>
  <c r="F111" i="2"/>
  <c r="G111" i="2" s="1"/>
  <c r="AU111" i="2" s="1"/>
  <c r="F112" i="2"/>
  <c r="AJ112" i="2" s="1"/>
  <c r="F113" i="2"/>
  <c r="AJ113" i="2" s="1"/>
  <c r="F114" i="2"/>
  <c r="AJ114" i="2" s="1"/>
  <c r="F115" i="2"/>
  <c r="AJ115" i="2" s="1"/>
  <c r="F116" i="2"/>
  <c r="G116" i="2" s="1"/>
  <c r="AU116" i="2" s="1"/>
  <c r="F117" i="2"/>
  <c r="G117" i="2" s="1"/>
  <c r="AU117" i="2" s="1"/>
  <c r="F118" i="2"/>
  <c r="AJ118" i="2" s="1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AS25" i="2" l="1"/>
  <c r="AS71" i="2"/>
  <c r="AS73" i="2"/>
  <c r="AO73" i="2"/>
  <c r="AV73" i="2" s="1"/>
  <c r="AK72" i="2"/>
  <c r="AO58" i="2"/>
  <c r="AV58" i="2" s="1"/>
  <c r="AK33" i="2"/>
  <c r="AO13" i="2"/>
  <c r="AV13" i="2" s="1"/>
  <c r="AK55" i="2"/>
  <c r="AK95" i="2"/>
  <c r="AT77" i="2"/>
  <c r="AK107" i="2"/>
  <c r="AK91" i="2"/>
  <c r="AW65" i="2"/>
  <c r="AR46" i="2"/>
  <c r="AK61" i="2"/>
  <c r="AK45" i="2"/>
  <c r="AK104" i="2"/>
  <c r="AL88" i="2"/>
  <c r="AJ27" i="2"/>
  <c r="AN95" i="2"/>
  <c r="AN5" i="2"/>
  <c r="G63" i="2"/>
  <c r="AU63" i="2" s="1"/>
  <c r="AW10" i="2"/>
  <c r="AN94" i="2"/>
  <c r="AW94" i="2" s="1"/>
  <c r="AN4" i="2"/>
  <c r="G59" i="2"/>
  <c r="AU59" i="2" s="1"/>
  <c r="AJ31" i="2"/>
  <c r="AN90" i="2"/>
  <c r="AN3" i="2"/>
  <c r="G53" i="2"/>
  <c r="AU53" i="2" s="1"/>
  <c r="AT21" i="2"/>
  <c r="AJ30" i="2"/>
  <c r="AN9" i="2"/>
  <c r="AT9" i="2" s="1"/>
  <c r="AN89" i="2"/>
  <c r="G38" i="2"/>
  <c r="AU38" i="2" s="1"/>
  <c r="AJ110" i="2"/>
  <c r="G88" i="2"/>
  <c r="AU88" i="2" s="1"/>
  <c r="G13" i="2"/>
  <c r="AU13" i="2" s="1"/>
  <c r="G70" i="2"/>
  <c r="AU70" i="2" s="1"/>
  <c r="AO9" i="2"/>
  <c r="AV9" i="2" s="1"/>
  <c r="AK9" i="2"/>
  <c r="AO3" i="2"/>
  <c r="AV3" i="2" s="1"/>
  <c r="AS3" i="2"/>
  <c r="AK39" i="2"/>
  <c r="AS39" i="2"/>
  <c r="AO39" i="2"/>
  <c r="AV39" i="2" s="1"/>
  <c r="AN29" i="2"/>
  <c r="AO98" i="2"/>
  <c r="AV98" i="2" s="1"/>
  <c r="AT88" i="2"/>
  <c r="AW82" i="2"/>
  <c r="AN11" i="2"/>
  <c r="AW11" i="2" s="1"/>
  <c r="G32" i="2"/>
  <c r="AU32" i="2" s="1"/>
  <c r="G51" i="2"/>
  <c r="AU51" i="2" s="1"/>
  <c r="G91" i="2"/>
  <c r="AU91" i="2" s="1"/>
  <c r="AK47" i="2"/>
  <c r="AJ16" i="2"/>
  <c r="G67" i="2"/>
  <c r="AU67" i="2" s="1"/>
  <c r="AW20" i="2"/>
  <c r="G52" i="2"/>
  <c r="AU52" i="2" s="1"/>
  <c r="AJ107" i="2"/>
  <c r="AN81" i="2"/>
  <c r="AW81" i="2" s="1"/>
  <c r="G50" i="2"/>
  <c r="AU50" i="2" s="1"/>
  <c r="G96" i="2"/>
  <c r="AU96" i="2" s="1"/>
  <c r="AJ14" i="2"/>
  <c r="AJ100" i="2"/>
  <c r="G66" i="2"/>
  <c r="AU66" i="2" s="1"/>
  <c r="AJ24" i="2"/>
  <c r="AN74" i="2"/>
  <c r="AL74" i="2" s="1"/>
  <c r="G28" i="2"/>
  <c r="AU28" i="2" s="1"/>
  <c r="G47" i="2"/>
  <c r="AU47" i="2" s="1"/>
  <c r="G97" i="2"/>
  <c r="AU97" i="2" s="1"/>
  <c r="AK43" i="2"/>
  <c r="AJ99" i="2"/>
  <c r="G43" i="2"/>
  <c r="AU43" i="2" s="1"/>
  <c r="G98" i="2"/>
  <c r="AU98" i="2" s="1"/>
  <c r="AJ11" i="2"/>
  <c r="AJ8" i="2"/>
  <c r="AJ83" i="2"/>
  <c r="AJ81" i="2"/>
  <c r="AR63" i="2"/>
  <c r="AJ65" i="2"/>
  <c r="AJ77" i="2"/>
  <c r="AK88" i="2"/>
  <c r="AN61" i="2"/>
  <c r="AW61" i="2" s="1"/>
  <c r="G113" i="2"/>
  <c r="AU113" i="2" s="1"/>
  <c r="AN112" i="2"/>
  <c r="AN55" i="2"/>
  <c r="AT55" i="2" s="1"/>
  <c r="G12" i="2"/>
  <c r="AU12" i="2" s="1"/>
  <c r="G80" i="2"/>
  <c r="AU80" i="2" s="1"/>
  <c r="G114" i="2"/>
  <c r="AU114" i="2" s="1"/>
  <c r="AR62" i="2"/>
  <c r="AW102" i="2"/>
  <c r="AJ76" i="2"/>
  <c r="AK58" i="2"/>
  <c r="AW67" i="2"/>
  <c r="G5" i="2"/>
  <c r="AU5" i="2" s="1"/>
  <c r="G79" i="2"/>
  <c r="AU79" i="2" s="1"/>
  <c r="G115" i="2"/>
  <c r="AU115" i="2" s="1"/>
  <c r="AJ75" i="2"/>
  <c r="G4" i="2"/>
  <c r="AU4" i="2" s="1"/>
  <c r="G72" i="2"/>
  <c r="AU72" i="2" s="1"/>
  <c r="G118" i="2"/>
  <c r="AU118" i="2" s="1"/>
  <c r="G82" i="2"/>
  <c r="AU82" i="2" s="1"/>
  <c r="G3" i="2"/>
  <c r="AU3" i="2" s="1"/>
  <c r="G71" i="2"/>
  <c r="AU71" i="2" s="1"/>
  <c r="AL54" i="2"/>
  <c r="AJ49" i="2"/>
  <c r="AS27" i="2"/>
  <c r="AK27" i="2"/>
  <c r="AL89" i="2"/>
  <c r="AK89" i="2"/>
  <c r="AK40" i="2"/>
  <c r="AO40" i="2"/>
  <c r="AV40" i="2" s="1"/>
  <c r="AS24" i="2"/>
  <c r="AK24" i="2"/>
  <c r="AK70" i="2"/>
  <c r="AS70" i="2"/>
  <c r="AO109" i="2"/>
  <c r="AV109" i="2" s="1"/>
  <c r="AK109" i="2"/>
  <c r="AO93" i="2"/>
  <c r="AV93" i="2" s="1"/>
  <c r="AK93" i="2"/>
  <c r="AK7" i="2"/>
  <c r="AO7" i="2"/>
  <c r="AV7" i="2" s="1"/>
  <c r="AK69" i="2"/>
  <c r="AK92" i="2"/>
  <c r="AS38" i="2"/>
  <c r="AK38" i="2"/>
  <c r="AO6" i="2"/>
  <c r="AV6" i="2" s="1"/>
  <c r="AK6" i="2"/>
  <c r="AK18" i="2"/>
  <c r="AO44" i="2"/>
  <c r="AV44" i="2" s="1"/>
  <c r="AK44" i="2"/>
  <c r="AK64" i="2"/>
  <c r="AR64" i="2"/>
  <c r="AL90" i="2"/>
  <c r="AK90" i="2"/>
  <c r="AO41" i="2"/>
  <c r="AV41" i="2" s="1"/>
  <c r="AK41" i="2"/>
  <c r="AK77" i="2"/>
  <c r="AL77" i="2"/>
  <c r="AR77" i="2"/>
  <c r="AR116" i="2"/>
  <c r="AK116" i="2"/>
  <c r="AK100" i="2"/>
  <c r="AR100" i="2"/>
  <c r="AT95" i="2"/>
  <c r="AW95" i="2"/>
  <c r="AW66" i="2"/>
  <c r="AT66" i="2"/>
  <c r="AK66" i="2"/>
  <c r="AL66" i="2"/>
  <c r="AK82" i="2"/>
  <c r="AL82" i="2"/>
  <c r="AL102" i="2"/>
  <c r="G95" i="2"/>
  <c r="AU95" i="2" s="1"/>
  <c r="AJ95" i="2"/>
  <c r="G33" i="2"/>
  <c r="AU33" i="2" s="1"/>
  <c r="G78" i="2"/>
  <c r="AU78" i="2" s="1"/>
  <c r="AO4" i="2"/>
  <c r="AV4" i="2" s="1"/>
  <c r="AK36" i="2"/>
  <c r="AW62" i="2"/>
  <c r="AR12" i="2"/>
  <c r="AK12" i="2"/>
  <c r="AS19" i="2"/>
  <c r="AK19" i="2"/>
  <c r="AO19" i="2"/>
  <c r="AV19" i="2" s="1"/>
  <c r="AL81" i="2"/>
  <c r="AL101" i="2"/>
  <c r="AJ10" i="2"/>
  <c r="AN48" i="2"/>
  <c r="AN92" i="2"/>
  <c r="AL92" i="2" s="1"/>
  <c r="AN7" i="2"/>
  <c r="G7" i="2"/>
  <c r="AU7" i="2" s="1"/>
  <c r="G48" i="2"/>
  <c r="AU48" i="2" s="1"/>
  <c r="AK35" i="2"/>
  <c r="AL65" i="2"/>
  <c r="AK65" i="2"/>
  <c r="AO10" i="2"/>
  <c r="AV10" i="2" s="1"/>
  <c r="AK10" i="2"/>
  <c r="AT80" i="2"/>
  <c r="AJ9" i="2"/>
  <c r="AJ117" i="2"/>
  <c r="AK103" i="2"/>
  <c r="AK54" i="2"/>
  <c r="AN91" i="2"/>
  <c r="AN6" i="2"/>
  <c r="AL6" i="2" s="1"/>
  <c r="G6" i="2"/>
  <c r="AU6" i="2" s="1"/>
  <c r="G73" i="2"/>
  <c r="AU73" i="2" s="1"/>
  <c r="AO60" i="2"/>
  <c r="AV60" i="2" s="1"/>
  <c r="AK60" i="2"/>
  <c r="AW49" i="2"/>
  <c r="AJ46" i="2"/>
  <c r="AJ116" i="2"/>
  <c r="AK102" i="2"/>
  <c r="AL61" i="2"/>
  <c r="AW55" i="2"/>
  <c r="AT90" i="2"/>
  <c r="AW90" i="2"/>
  <c r="AW50" i="2"/>
  <c r="AT50" i="2"/>
  <c r="G29" i="2"/>
  <c r="AU29" i="2" s="1"/>
  <c r="G45" i="2"/>
  <c r="AU45" i="2" s="1"/>
  <c r="AO17" i="2"/>
  <c r="AN59" i="2"/>
  <c r="AW43" i="2"/>
  <c r="AT79" i="2"/>
  <c r="AW79" i="2"/>
  <c r="AJ94" i="2"/>
  <c r="AK101" i="2"/>
  <c r="AK42" i="2"/>
  <c r="AL10" i="2"/>
  <c r="G44" i="2"/>
  <c r="AU44" i="2" s="1"/>
  <c r="G105" i="2"/>
  <c r="AU105" i="2" s="1"/>
  <c r="AK32" i="2"/>
  <c r="AN16" i="2"/>
  <c r="AK78" i="2"/>
  <c r="AK46" i="2"/>
  <c r="AO76" i="2"/>
  <c r="AV76" i="2" s="1"/>
  <c r="AJ93" i="2"/>
  <c r="AL9" i="2"/>
  <c r="G74" i="2"/>
  <c r="AU74" i="2" s="1"/>
  <c r="AJ74" i="2"/>
  <c r="AT47" i="2"/>
  <c r="AW47" i="2"/>
  <c r="AW3" i="2"/>
  <c r="AT3" i="2"/>
  <c r="G106" i="2"/>
  <c r="AU106" i="2" s="1"/>
  <c r="AO15" i="2"/>
  <c r="AV15" i="2" s="1"/>
  <c r="AK15" i="2"/>
  <c r="AN57" i="2"/>
  <c r="AL4" i="2"/>
  <c r="AL55" i="2"/>
  <c r="AJ68" i="2"/>
  <c r="AJ39" i="2"/>
  <c r="AJ92" i="2"/>
  <c r="AJ111" i="2"/>
  <c r="AW4" i="2"/>
  <c r="AT4" i="2"/>
  <c r="AJ26" i="2"/>
  <c r="AJ86" i="2"/>
  <c r="AJ109" i="2"/>
  <c r="AT43" i="2"/>
  <c r="AL95" i="2"/>
  <c r="AN68" i="2"/>
  <c r="G64" i="2"/>
  <c r="AU64" i="2" s="1"/>
  <c r="AK115" i="2"/>
  <c r="AR118" i="2"/>
  <c r="AK87" i="2"/>
  <c r="AL47" i="2"/>
  <c r="G61" i="2"/>
  <c r="AU61" i="2" s="1"/>
  <c r="G112" i="2"/>
  <c r="AU112" i="2" s="1"/>
  <c r="AO28" i="2"/>
  <c r="AV28" i="2" s="1"/>
  <c r="AK28" i="2"/>
  <c r="AN113" i="2"/>
  <c r="AN97" i="2"/>
  <c r="AT34" i="2"/>
  <c r="AJ25" i="2"/>
  <c r="AJ34" i="2"/>
  <c r="AJ84" i="2"/>
  <c r="AJ108" i="2"/>
  <c r="AT67" i="2"/>
  <c r="AK25" i="2"/>
  <c r="AO1" i="2"/>
  <c r="AV1" i="2" s="1"/>
  <c r="AW21" i="2"/>
  <c r="AL21" i="2"/>
  <c r="AW77" i="2"/>
  <c r="AJ57" i="2"/>
  <c r="G57" i="2"/>
  <c r="AU57" i="2" s="1"/>
  <c r="G87" i="2"/>
  <c r="AU87" i="2" s="1"/>
  <c r="G89" i="2"/>
  <c r="AU89" i="2" s="1"/>
  <c r="AO11" i="2"/>
  <c r="AV11" i="2" s="1"/>
  <c r="AK11" i="2"/>
  <c r="AO53" i="2"/>
  <c r="AV53" i="2" s="1"/>
  <c r="AK73" i="2"/>
  <c r="AL112" i="2"/>
  <c r="AK112" i="2"/>
  <c r="AN96" i="2"/>
  <c r="AL29" i="2"/>
  <c r="AK29" i="2"/>
  <c r="AO111" i="2"/>
  <c r="AV111" i="2" s="1"/>
  <c r="AK111" i="2"/>
  <c r="AJ62" i="2"/>
  <c r="AT94" i="2"/>
  <c r="AT65" i="2"/>
  <c r="AL43" i="2"/>
  <c r="AJ41" i="2"/>
  <c r="G41" i="2"/>
  <c r="AU41" i="2" s="1"/>
  <c r="G23" i="2"/>
  <c r="AU23" i="2" s="1"/>
  <c r="AK99" i="2"/>
  <c r="AT10" i="2"/>
  <c r="AN42" i="2"/>
  <c r="G22" i="2"/>
  <c r="AU22" i="2" s="1"/>
  <c r="AK114" i="2"/>
  <c r="G20" i="2"/>
  <c r="AU20" i="2" s="1"/>
  <c r="G60" i="2"/>
  <c r="AU60" i="2" s="1"/>
  <c r="G101" i="2"/>
  <c r="AU101" i="2" s="1"/>
  <c r="AJ101" i="2"/>
  <c r="G18" i="2"/>
  <c r="AU18" i="2" s="1"/>
  <c r="AJ18" i="2"/>
  <c r="AO107" i="2"/>
  <c r="AV107" i="2" s="1"/>
  <c r="AT74" i="2"/>
  <c r="AW74" i="2"/>
  <c r="AO33" i="2"/>
  <c r="AV33" i="2" s="1"/>
  <c r="G19" i="2"/>
  <c r="AU19" i="2" s="1"/>
  <c r="G90" i="2"/>
  <c r="AU90" i="2" s="1"/>
  <c r="AW5" i="2"/>
  <c r="AT5" i="2"/>
  <c r="AL5" i="2"/>
  <c r="AO52" i="2"/>
  <c r="AV52" i="2" s="1"/>
  <c r="AK52" i="2"/>
  <c r="AK105" i="2"/>
  <c r="AK84" i="2"/>
  <c r="AK67" i="2"/>
  <c r="AL67" i="2"/>
  <c r="G42" i="2"/>
  <c r="AU42" i="2" s="1"/>
  <c r="AT56" i="2"/>
  <c r="AO32" i="2"/>
  <c r="AV32" i="2" s="1"/>
  <c r="G17" i="2"/>
  <c r="AU17" i="2" s="1"/>
  <c r="G58" i="2"/>
  <c r="AU58" i="2" s="1"/>
  <c r="G85" i="2"/>
  <c r="AU85" i="2" s="1"/>
  <c r="AN51" i="2"/>
  <c r="AT87" i="2"/>
  <c r="AO110" i="2"/>
  <c r="AV110" i="2" s="1"/>
  <c r="AK110" i="2"/>
  <c r="AL94" i="2"/>
  <c r="AK94" i="2"/>
  <c r="AR26" i="2"/>
  <c r="AK26" i="2"/>
  <c r="AS72" i="2"/>
  <c r="AT108" i="2"/>
  <c r="AT62" i="2"/>
  <c r="AK71" i="2"/>
  <c r="AK21" i="2"/>
  <c r="AW88" i="2"/>
  <c r="AW23" i="2"/>
  <c r="AS22" i="2"/>
  <c r="AT89" i="2"/>
  <c r="AW89" i="2"/>
  <c r="AR14" i="2"/>
  <c r="AK14" i="2"/>
  <c r="AK3" i="2"/>
  <c r="AL3" i="2"/>
  <c r="AK98" i="2"/>
  <c r="G2" i="2"/>
  <c r="AU2" i="2" s="1"/>
  <c r="AJ2" i="2"/>
  <c r="AW101" i="2"/>
  <c r="AT101" i="2"/>
  <c r="G54" i="2"/>
  <c r="AU54" i="2" s="1"/>
  <c r="AO8" i="2"/>
  <c r="AV8" i="2" s="1"/>
  <c r="AK8" i="2"/>
  <c r="AK50" i="2"/>
  <c r="AL50" i="2"/>
  <c r="AS86" i="2"/>
  <c r="AJ55" i="2"/>
  <c r="AT61" i="2"/>
  <c r="AK1" i="2"/>
  <c r="AK20" i="2"/>
  <c r="AW87" i="2"/>
  <c r="AJ56" i="2"/>
  <c r="AJ40" i="2"/>
  <c r="AK81" i="2"/>
  <c r="AT20" i="2"/>
  <c r="AK13" i="2"/>
  <c r="AO83" i="2"/>
  <c r="AV83" i="2" s="1"/>
  <c r="AJ15" i="2"/>
  <c r="AT82" i="2"/>
  <c r="G104" i="2"/>
  <c r="AU104" i="2" s="1"/>
  <c r="AR37" i="2"/>
  <c r="AK83" i="2"/>
  <c r="AO85" i="2"/>
  <c r="AV85" i="2" s="1"/>
  <c r="AO45" i="2"/>
  <c r="AV45" i="2" s="1"/>
  <c r="AR105" i="2"/>
  <c r="AO105" i="2"/>
  <c r="AV105" i="2" s="1"/>
  <c r="AR104" i="2"/>
  <c r="AO104" i="2"/>
  <c r="AV104" i="2" s="1"/>
  <c r="AR115" i="2"/>
  <c r="AO115" i="2"/>
  <c r="AV115" i="2" s="1"/>
  <c r="AR99" i="2"/>
  <c r="AO99" i="2"/>
  <c r="AV99" i="2" s="1"/>
  <c r="AR95" i="2"/>
  <c r="AO95" i="2"/>
  <c r="AO116" i="2"/>
  <c r="AO100" i="2"/>
  <c r="AO118" i="2"/>
  <c r="AP103" i="2"/>
  <c r="AO78" i="2"/>
  <c r="AR69" i="2"/>
  <c r="AO69" i="2"/>
  <c r="AV69" i="2" s="1"/>
  <c r="AR84" i="2"/>
  <c r="AO84" i="2"/>
  <c r="AO72" i="2"/>
  <c r="AO71" i="2"/>
  <c r="AV71" i="2" s="1"/>
  <c r="AO70" i="2"/>
  <c r="AN78" i="2"/>
  <c r="AO77" i="2"/>
  <c r="AO86" i="2"/>
  <c r="AO64" i="2"/>
  <c r="AO59" i="2"/>
  <c r="AV59" i="2" s="1"/>
  <c r="AO62" i="2"/>
  <c r="AO46" i="2"/>
  <c r="AO18" i="2"/>
  <c r="AO22" i="2"/>
  <c r="AV22" i="2" s="1"/>
  <c r="AO12" i="2"/>
  <c r="AO14" i="2"/>
  <c r="AO27" i="2"/>
  <c r="AV27" i="2" s="1"/>
  <c r="AO38" i="2"/>
  <c r="AV38" i="2" s="1"/>
  <c r="AO26" i="2"/>
  <c r="AO35" i="2"/>
  <c r="AO25" i="2"/>
  <c r="AO24" i="2"/>
  <c r="AH25" i="2"/>
  <c r="AN98" i="2"/>
  <c r="AL98" i="2" s="1"/>
  <c r="AN84" i="2"/>
  <c r="AL84" i="2" s="1"/>
  <c r="AS95" i="2"/>
  <c r="AN83" i="2"/>
  <c r="AL83" i="2" s="1"/>
  <c r="AN118" i="2"/>
  <c r="AL118" i="2" s="1"/>
  <c r="AN116" i="2"/>
  <c r="AN114" i="2"/>
  <c r="AS67" i="2"/>
  <c r="AN100" i="2"/>
  <c r="AN111" i="2"/>
  <c r="AL111" i="2" s="1"/>
  <c r="AN99" i="2"/>
  <c r="AN110" i="2"/>
  <c r="AL110" i="2" s="1"/>
  <c r="AR114" i="2"/>
  <c r="AP114" i="2"/>
  <c r="AN115" i="2"/>
  <c r="AL115" i="2" s="1"/>
  <c r="AN36" i="2"/>
  <c r="AL36" i="2" s="1"/>
  <c r="AO16" i="2"/>
  <c r="AV16" i="2" s="1"/>
  <c r="AN107" i="2"/>
  <c r="AN104" i="2"/>
  <c r="AL104" i="2" s="1"/>
  <c r="AO112" i="2"/>
  <c r="AV112" i="2" s="1"/>
  <c r="AN8" i="2"/>
  <c r="AN86" i="2"/>
  <c r="AL86" i="2" s="1"/>
  <c r="AN103" i="2"/>
  <c r="AN1" i="2"/>
  <c r="AL1" i="2" s="1"/>
  <c r="AN64" i="2"/>
  <c r="AL64" i="2" s="1"/>
  <c r="AR111" i="2"/>
  <c r="AS111" i="2"/>
  <c r="AS110" i="2"/>
  <c r="AR110" i="2"/>
  <c r="AR107" i="2"/>
  <c r="AN73" i="2"/>
  <c r="AL73" i="2" s="1"/>
  <c r="AN72" i="2"/>
  <c r="AL72" i="2" s="1"/>
  <c r="AS7" i="2"/>
  <c r="AN60" i="2"/>
  <c r="AL60" i="2" s="1"/>
  <c r="AN71" i="2"/>
  <c r="AL71" i="2" s="1"/>
  <c r="AN69" i="2"/>
  <c r="AL69" i="2" s="1"/>
  <c r="AN70" i="2"/>
  <c r="AL70" i="2" s="1"/>
  <c r="AS99" i="2"/>
  <c r="AN41" i="2"/>
  <c r="AL41" i="2" s="1"/>
  <c r="AS98" i="2"/>
  <c r="AN105" i="2"/>
  <c r="AL105" i="2" s="1"/>
  <c r="AS80" i="2"/>
  <c r="AR109" i="2"/>
  <c r="AS109" i="2"/>
  <c r="AR93" i="2"/>
  <c r="AP93" i="2"/>
  <c r="AS93" i="2"/>
  <c r="AR85" i="2"/>
  <c r="AS85" i="2"/>
  <c r="AN85" i="2"/>
  <c r="AL85" i="2" s="1"/>
  <c r="AO106" i="2"/>
  <c r="AV106" i="2" s="1"/>
  <c r="AO81" i="2"/>
  <c r="AV81" i="2" s="1"/>
  <c r="AP73" i="2"/>
  <c r="AS104" i="2"/>
  <c r="AN109" i="2"/>
  <c r="AN93" i="2"/>
  <c r="AL93" i="2" s="1"/>
  <c r="AR73" i="2"/>
  <c r="AS84" i="2"/>
  <c r="AN38" i="2"/>
  <c r="AN39" i="2"/>
  <c r="AN40" i="2"/>
  <c r="AN45" i="2"/>
  <c r="AL45" i="2" s="1"/>
  <c r="AN46" i="2"/>
  <c r="AN22" i="2"/>
  <c r="AL22" i="2" s="1"/>
  <c r="AN24" i="2"/>
  <c r="AL24" i="2" s="1"/>
  <c r="AN25" i="2"/>
  <c r="AN35" i="2"/>
  <c r="AL35" i="2" s="1"/>
  <c r="AS4" i="2"/>
  <c r="AP5" i="2"/>
  <c r="AN18" i="2"/>
  <c r="AL18" i="2" s="1"/>
  <c r="AN19" i="2"/>
  <c r="AL19" i="2" s="1"/>
  <c r="AN27" i="2"/>
  <c r="AN26" i="2"/>
  <c r="AR58" i="2"/>
  <c r="AS58" i="2"/>
  <c r="AP58" i="2"/>
  <c r="AS60" i="2"/>
  <c r="AR60" i="2"/>
  <c r="AR53" i="2"/>
  <c r="AR52" i="2"/>
  <c r="AN53" i="2"/>
  <c r="AL53" i="2" s="1"/>
  <c r="AO57" i="2"/>
  <c r="AV57" i="2" s="1"/>
  <c r="AN58" i="2"/>
  <c r="AO61" i="2"/>
  <c r="AV61" i="2" s="1"/>
  <c r="AS64" i="2"/>
  <c r="AS69" i="2"/>
  <c r="AN52" i="2"/>
  <c r="AL52" i="2" s="1"/>
  <c r="AR44" i="2"/>
  <c r="AR33" i="2"/>
  <c r="AS33" i="2"/>
  <c r="AR28" i="2"/>
  <c r="AS45" i="2"/>
  <c r="AR45" i="2"/>
  <c r="AP36" i="2"/>
  <c r="AR36" i="2"/>
  <c r="AR30" i="2"/>
  <c r="AN15" i="2"/>
  <c r="AL15" i="2" s="1"/>
  <c r="AN17" i="2"/>
  <c r="AN33" i="2"/>
  <c r="AW33" i="2" s="1"/>
  <c r="AS2" i="2"/>
  <c r="AN32" i="2"/>
  <c r="AN31" i="2"/>
  <c r="AR41" i="2"/>
  <c r="AN30" i="2"/>
  <c r="AN44" i="2"/>
  <c r="AL44" i="2" s="1"/>
  <c r="AN28" i="2"/>
  <c r="AS11" i="2"/>
  <c r="AR27" i="2"/>
  <c r="AS16" i="2"/>
  <c r="AS17" i="2"/>
  <c r="AR15" i="2"/>
  <c r="AP13" i="2"/>
  <c r="AR13" i="2"/>
  <c r="AS13" i="2"/>
  <c r="AN12" i="2"/>
  <c r="AL12" i="2" s="1"/>
  <c r="AR25" i="2"/>
  <c r="AN13" i="2"/>
  <c r="AL13" i="2" s="1"/>
  <c r="AN14" i="2"/>
  <c r="AL14" i="2" s="1"/>
  <c r="AS8" i="2"/>
  <c r="AS18" i="2"/>
  <c r="AR8" i="2"/>
  <c r="AR22" i="2"/>
  <c r="AH71" i="2"/>
  <c r="AH3" i="2"/>
  <c r="AR80" i="2"/>
  <c r="AR40" i="2"/>
  <c r="AR79" i="2"/>
  <c r="AR24" i="2"/>
  <c r="AR39" i="2"/>
  <c r="AR78" i="2"/>
  <c r="AS100" i="2"/>
  <c r="AS83" i="2"/>
  <c r="AS15" i="2"/>
  <c r="AS82" i="2"/>
  <c r="AS66" i="2"/>
  <c r="AP71" i="2"/>
  <c r="AS30" i="2"/>
  <c r="AS14" i="2"/>
  <c r="AS59" i="2"/>
  <c r="AS105" i="2"/>
  <c r="AR7" i="2"/>
  <c r="AR38" i="2"/>
  <c r="AS12" i="2"/>
  <c r="AS103" i="2"/>
  <c r="AR91" i="2"/>
  <c r="AS40" i="2"/>
  <c r="AS78" i="2"/>
  <c r="AS118" i="2"/>
  <c r="AP105" i="2"/>
  <c r="AR51" i="2"/>
  <c r="AR35" i="2"/>
  <c r="AP104" i="2"/>
  <c r="AR19" i="2"/>
  <c r="AR3" i="2"/>
  <c r="AS91" i="2"/>
  <c r="AS115" i="2"/>
  <c r="AR17" i="2"/>
  <c r="AR48" i="2"/>
  <c r="AR32" i="2"/>
  <c r="AR103" i="2"/>
  <c r="AR71" i="2"/>
  <c r="AP7" i="2"/>
  <c r="AR2" i="2"/>
  <c r="AS36" i="2"/>
  <c r="AS114" i="2"/>
  <c r="AR86" i="2"/>
  <c r="AR70" i="2"/>
  <c r="AS116" i="2"/>
  <c r="AR18" i="2"/>
  <c r="AR72" i="2"/>
  <c r="AS35" i="2"/>
  <c r="AP3" i="2"/>
  <c r="AS32" i="2"/>
  <c r="C3" i="3"/>
  <c r="C2" i="3"/>
  <c r="H3" i="2" s="1"/>
  <c r="H98" i="2"/>
  <c r="H90" i="2"/>
  <c r="H82" i="2"/>
  <c r="H67" i="2"/>
  <c r="H52" i="2"/>
  <c r="H43" i="2"/>
  <c r="H35" i="2"/>
  <c r="H12" i="2"/>
  <c r="H113" i="2"/>
  <c r="H105" i="2"/>
  <c r="H97" i="2"/>
  <c r="H89" i="2"/>
  <c r="H81" i="2"/>
  <c r="H73" i="2"/>
  <c r="H66" i="2"/>
  <c r="H59" i="2"/>
  <c r="H34" i="2"/>
  <c r="H27" i="2"/>
  <c r="H18" i="2"/>
  <c r="H11" i="2"/>
  <c r="H2" i="2"/>
  <c r="H71" i="2"/>
  <c r="H39" i="2"/>
  <c r="H24" i="2"/>
  <c r="H112" i="2"/>
  <c r="H96" i="2"/>
  <c r="H88" i="2"/>
  <c r="H80" i="2"/>
  <c r="H46" i="2"/>
  <c r="H65" i="2"/>
  <c r="H41" i="2"/>
  <c r="H33" i="2"/>
  <c r="H26" i="2"/>
  <c r="H10" i="2"/>
  <c r="H1" i="2"/>
  <c r="H111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93" i="2"/>
  <c r="H85" i="2"/>
  <c r="H77" i="2"/>
  <c r="H70" i="2"/>
  <c r="H118" i="2"/>
  <c r="H55" i="2"/>
  <c r="H47" i="2"/>
  <c r="H38" i="2"/>
  <c r="H23" i="2"/>
  <c r="H9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07" i="2"/>
  <c r="H99" i="2"/>
  <c r="H91" i="2"/>
  <c r="H83" i="2"/>
  <c r="H75" i="2"/>
  <c r="H68" i="2"/>
  <c r="H36" i="2"/>
  <c r="H29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H39" i="2" l="1"/>
  <c r="AH27" i="2"/>
  <c r="AP53" i="2"/>
  <c r="AP44" i="2"/>
  <c r="AH24" i="2"/>
  <c r="AP15" i="2"/>
  <c r="AP16" i="2"/>
  <c r="AP85" i="2"/>
  <c r="AT49" i="2"/>
  <c r="AP98" i="2"/>
  <c r="AT102" i="2"/>
  <c r="AP39" i="2"/>
  <c r="H53" i="2"/>
  <c r="H101" i="2"/>
  <c r="AP22" i="2"/>
  <c r="AP83" i="2"/>
  <c r="AW34" i="2"/>
  <c r="H60" i="2"/>
  <c r="H50" i="2"/>
  <c r="AP111" i="2"/>
  <c r="AW9" i="2"/>
  <c r="AP52" i="2"/>
  <c r="AV17" i="2"/>
  <c r="AP17" i="2"/>
  <c r="H61" i="2"/>
  <c r="H28" i="2"/>
  <c r="AH72" i="2"/>
  <c r="AR31" i="2"/>
  <c r="AL11" i="2"/>
  <c r="AT11" i="2"/>
  <c r="AW106" i="2"/>
  <c r="AL106" i="2"/>
  <c r="AK106" i="2"/>
  <c r="AW63" i="2"/>
  <c r="AT106" i="2"/>
  <c r="AL63" i="2"/>
  <c r="AT63" i="2"/>
  <c r="AW29" i="2"/>
  <c r="AT29" i="2"/>
  <c r="H5" i="2"/>
  <c r="AP60" i="2"/>
  <c r="AK62" i="2"/>
  <c r="AW54" i="2"/>
  <c r="AT54" i="2"/>
  <c r="AO63" i="2"/>
  <c r="AP63" i="2" s="1"/>
  <c r="AL62" i="2"/>
  <c r="AW112" i="2"/>
  <c r="AT112" i="2"/>
  <c r="H115" i="2"/>
  <c r="AP45" i="2"/>
  <c r="AS63" i="2"/>
  <c r="AP40" i="2"/>
  <c r="AK63" i="2"/>
  <c r="AT81" i="2"/>
  <c r="H51" i="2"/>
  <c r="H20" i="2"/>
  <c r="H104" i="2"/>
  <c r="AP115" i="2"/>
  <c r="AT40" i="2"/>
  <c r="AW40" i="2"/>
  <c r="AW60" i="2"/>
  <c r="AT60" i="2"/>
  <c r="AT1" i="2"/>
  <c r="AW1" i="2"/>
  <c r="AW100" i="2"/>
  <c r="AT100" i="2"/>
  <c r="AP70" i="2"/>
  <c r="AV70" i="2"/>
  <c r="AK2" i="2"/>
  <c r="AL2" i="2"/>
  <c r="AO2" i="2"/>
  <c r="AL57" i="2"/>
  <c r="AK57" i="2"/>
  <c r="AK76" i="2"/>
  <c r="AL76" i="2"/>
  <c r="AW91" i="2"/>
  <c r="AT91" i="2"/>
  <c r="AP24" i="2"/>
  <c r="AV24" i="2"/>
  <c r="AK75" i="2"/>
  <c r="AT75" i="2"/>
  <c r="AL75" i="2"/>
  <c r="AT42" i="2"/>
  <c r="AW42" i="2"/>
  <c r="AR96" i="2"/>
  <c r="AL96" i="2"/>
  <c r="AK96" i="2"/>
  <c r="AW46" i="2"/>
  <c r="AT46" i="2"/>
  <c r="AW96" i="2"/>
  <c r="AT96" i="2"/>
  <c r="AH22" i="2"/>
  <c r="AP99" i="2"/>
  <c r="AW32" i="2"/>
  <c r="AT32" i="2"/>
  <c r="AP28" i="2"/>
  <c r="AT39" i="2"/>
  <c r="AW39" i="2"/>
  <c r="AT103" i="2"/>
  <c r="AW103" i="2"/>
  <c r="AP14" i="2"/>
  <c r="AV14" i="2"/>
  <c r="AT57" i="2"/>
  <c r="AW57" i="2"/>
  <c r="AL56" i="2"/>
  <c r="AK56" i="2"/>
  <c r="AT38" i="2"/>
  <c r="AW38" i="2"/>
  <c r="AT86" i="2"/>
  <c r="AW86" i="2"/>
  <c r="AW114" i="2"/>
  <c r="AT114" i="2"/>
  <c r="AP32" i="2"/>
  <c r="AP72" i="2"/>
  <c r="AV72" i="2"/>
  <c r="AL103" i="2"/>
  <c r="AL117" i="2"/>
  <c r="AK117" i="2"/>
  <c r="AT72" i="2"/>
  <c r="AW72" i="2"/>
  <c r="AT8" i="2"/>
  <c r="AW8" i="2"/>
  <c r="AW116" i="2"/>
  <c r="AT116" i="2"/>
  <c r="AP12" i="2"/>
  <c r="AV12" i="2"/>
  <c r="AP84" i="2"/>
  <c r="AV84" i="2"/>
  <c r="AL8" i="2"/>
  <c r="AL46" i="2"/>
  <c r="AK79" i="2"/>
  <c r="AL79" i="2"/>
  <c r="AT7" i="2"/>
  <c r="AW7" i="2"/>
  <c r="AW75" i="2"/>
  <c r="AW59" i="2"/>
  <c r="AT59" i="2"/>
  <c r="AW92" i="2"/>
  <c r="AT92" i="2"/>
  <c r="AT117" i="2"/>
  <c r="AW56" i="2"/>
  <c r="AL40" i="2"/>
  <c r="AT25" i="2"/>
  <c r="AW25" i="2"/>
  <c r="AL25" i="2"/>
  <c r="AP100" i="2"/>
  <c r="AV100" i="2"/>
  <c r="AT24" i="2"/>
  <c r="AW24" i="2"/>
  <c r="AT30" i="2"/>
  <c r="AW30" i="2"/>
  <c r="AT70" i="2"/>
  <c r="AW70" i="2"/>
  <c r="AP77" i="2"/>
  <c r="AV77" i="2"/>
  <c r="AP59" i="2"/>
  <c r="AW31" i="2"/>
  <c r="AT31" i="2"/>
  <c r="AW45" i="2"/>
  <c r="AT45" i="2"/>
  <c r="AW78" i="2"/>
  <c r="AT78" i="2"/>
  <c r="AT17" i="2"/>
  <c r="AW17" i="2"/>
  <c r="AW27" i="2"/>
  <c r="AT27" i="2"/>
  <c r="H6" i="2"/>
  <c r="AH86" i="2"/>
  <c r="AW53" i="2"/>
  <c r="AT53" i="2"/>
  <c r="AP109" i="2"/>
  <c r="AT104" i="2"/>
  <c r="AW104" i="2"/>
  <c r="AW83" i="2"/>
  <c r="AT83" i="2"/>
  <c r="AP18" i="2"/>
  <c r="AV18" i="2"/>
  <c r="AL23" i="2"/>
  <c r="AK23" i="2"/>
  <c r="AL31" i="2"/>
  <c r="AK31" i="2"/>
  <c r="AL78" i="2"/>
  <c r="AR59" i="2"/>
  <c r="AK59" i="2"/>
  <c r="AL59" i="2"/>
  <c r="AL48" i="2"/>
  <c r="AK48" i="2"/>
  <c r="AT23" i="2"/>
  <c r="AW117" i="2"/>
  <c r="AL7" i="2"/>
  <c r="AT14" i="2"/>
  <c r="AW14" i="2"/>
  <c r="AP25" i="2"/>
  <c r="AV25" i="2"/>
  <c r="AK108" i="2"/>
  <c r="AL108" i="2"/>
  <c r="AT22" i="2"/>
  <c r="AW22" i="2"/>
  <c r="AP35" i="2"/>
  <c r="AV35" i="2"/>
  <c r="AH73" i="2"/>
  <c r="H17" i="2"/>
  <c r="AH70" i="2"/>
  <c r="AT58" i="2"/>
  <c r="AW58" i="2"/>
  <c r="AS75" i="2"/>
  <c r="AH19" i="2"/>
  <c r="AP69" i="2"/>
  <c r="AW19" i="2"/>
  <c r="AT19" i="2"/>
  <c r="AP107" i="2"/>
  <c r="AT73" i="2"/>
  <c r="AW73" i="2"/>
  <c r="AS96" i="2"/>
  <c r="AP46" i="2"/>
  <c r="AV46" i="2"/>
  <c r="AT2" i="2"/>
  <c r="AL91" i="2"/>
  <c r="AO31" i="2"/>
  <c r="AL16" i="2"/>
  <c r="AK16" i="2"/>
  <c r="AK17" i="2"/>
  <c r="AL17" i="2"/>
  <c r="AW48" i="2"/>
  <c r="AT48" i="2"/>
  <c r="AL42" i="2"/>
  <c r="AW28" i="2"/>
  <c r="AT28" i="2"/>
  <c r="AT41" i="2"/>
  <c r="AW41" i="2"/>
  <c r="AW44" i="2"/>
  <c r="AT44" i="2"/>
  <c r="AP64" i="2"/>
  <c r="AV64" i="2"/>
  <c r="AW13" i="2"/>
  <c r="AT13" i="2"/>
  <c r="AP86" i="2"/>
  <c r="AV86" i="2"/>
  <c r="AW99" i="2"/>
  <c r="AT99" i="2"/>
  <c r="AL99" i="2"/>
  <c r="AP19" i="2"/>
  <c r="H22" i="2"/>
  <c r="H58" i="2"/>
  <c r="H42" i="2"/>
  <c r="AP1" i="2"/>
  <c r="AW15" i="2"/>
  <c r="AT15" i="2"/>
  <c r="AP33" i="2"/>
  <c r="AW18" i="2"/>
  <c r="AT18" i="2"/>
  <c r="AW93" i="2"/>
  <c r="AT93" i="2"/>
  <c r="AW107" i="2"/>
  <c r="AT107" i="2"/>
  <c r="AW84" i="2"/>
  <c r="AT84" i="2"/>
  <c r="AP78" i="2"/>
  <c r="AV78" i="2"/>
  <c r="AW2" i="2"/>
  <c r="AK34" i="2"/>
  <c r="AL34" i="2"/>
  <c r="AK30" i="2"/>
  <c r="AL30" i="2"/>
  <c r="AL58" i="2"/>
  <c r="AT16" i="2"/>
  <c r="AW16" i="2"/>
  <c r="AL49" i="2"/>
  <c r="AK49" i="2"/>
  <c r="AO80" i="2"/>
  <c r="AL80" i="2"/>
  <c r="AK80" i="2"/>
  <c r="AL100" i="2"/>
  <c r="AW68" i="2"/>
  <c r="AT68" i="2"/>
  <c r="H95" i="2"/>
  <c r="AW69" i="2"/>
  <c r="AT69" i="2"/>
  <c r="AW64" i="2"/>
  <c r="AT64" i="2"/>
  <c r="AW26" i="2"/>
  <c r="AL26" i="2"/>
  <c r="AT26" i="2"/>
  <c r="AR75" i="2"/>
  <c r="AP38" i="2"/>
  <c r="AW109" i="2"/>
  <c r="AT109" i="2"/>
  <c r="AW98" i="2"/>
  <c r="AT98" i="2"/>
  <c r="AK51" i="2"/>
  <c r="AL51" i="2"/>
  <c r="AL97" i="2"/>
  <c r="AK97" i="2"/>
  <c r="AO30" i="2"/>
  <c r="AL107" i="2"/>
  <c r="AW80" i="2"/>
  <c r="AL27" i="2"/>
  <c r="AW113" i="2"/>
  <c r="AT113" i="2"/>
  <c r="AP116" i="2"/>
  <c r="AV116" i="2"/>
  <c r="AH38" i="2"/>
  <c r="AW85" i="2"/>
  <c r="AT85" i="2"/>
  <c r="AP95" i="2"/>
  <c r="AV95" i="2"/>
  <c r="AP26" i="2"/>
  <c r="AV26" i="2"/>
  <c r="AW12" i="2"/>
  <c r="AT12" i="2"/>
  <c r="AT71" i="2"/>
  <c r="AW71" i="2"/>
  <c r="H19" i="2"/>
  <c r="AW118" i="2"/>
  <c r="AT118" i="2"/>
  <c r="H74" i="2"/>
  <c r="AT105" i="2"/>
  <c r="AW105" i="2"/>
  <c r="AP110" i="2"/>
  <c r="AW36" i="2"/>
  <c r="AT36" i="2"/>
  <c r="AP8" i="2"/>
  <c r="AP41" i="2"/>
  <c r="AO96" i="2"/>
  <c r="AL28" i="2"/>
  <c r="AW51" i="2"/>
  <c r="AT51" i="2"/>
  <c r="AL114" i="2"/>
  <c r="AW97" i="2"/>
  <c r="AT97" i="2"/>
  <c r="AL32" i="2"/>
  <c r="AL116" i="2"/>
  <c r="AT76" i="2"/>
  <c r="AL109" i="2"/>
  <c r="AW52" i="2"/>
  <c r="AT52" i="2"/>
  <c r="AW110" i="2"/>
  <c r="AT110" i="2"/>
  <c r="AT111" i="2"/>
  <c r="AW111" i="2"/>
  <c r="AW108" i="2"/>
  <c r="AT6" i="2"/>
  <c r="AW6" i="2"/>
  <c r="H44" i="2"/>
  <c r="AP27" i="2"/>
  <c r="AW35" i="2"/>
  <c r="AT35" i="2"/>
  <c r="AW115" i="2"/>
  <c r="AT115" i="2"/>
  <c r="AP62" i="2"/>
  <c r="AV62" i="2"/>
  <c r="AP118" i="2"/>
  <c r="AV118" i="2"/>
  <c r="AW37" i="2"/>
  <c r="AT37" i="2"/>
  <c r="AL37" i="2"/>
  <c r="AK37" i="2"/>
  <c r="AL39" i="2"/>
  <c r="AL113" i="2"/>
  <c r="AK113" i="2"/>
  <c r="AK68" i="2"/>
  <c r="AL68" i="2"/>
  <c r="AW76" i="2"/>
  <c r="AL38" i="2"/>
  <c r="AT33" i="2"/>
  <c r="AL33" i="2"/>
  <c r="AH4" i="2"/>
  <c r="AR97" i="2"/>
  <c r="AO97" i="2"/>
  <c r="AR117" i="2"/>
  <c r="AO117" i="2"/>
  <c r="AR113" i="2"/>
  <c r="AO113" i="2"/>
  <c r="AV113" i="2" s="1"/>
  <c r="AH107" i="2"/>
  <c r="AS107" i="2"/>
  <c r="AR102" i="2"/>
  <c r="AO102" i="2"/>
  <c r="AO94" i="2"/>
  <c r="AH110" i="2"/>
  <c r="AO91" i="2"/>
  <c r="AR101" i="2"/>
  <c r="AO101" i="2"/>
  <c r="AV101" i="2" s="1"/>
  <c r="AO92" i="2"/>
  <c r="AV92" i="2" s="1"/>
  <c r="AO108" i="2"/>
  <c r="AO88" i="2"/>
  <c r="AO87" i="2"/>
  <c r="AR68" i="2"/>
  <c r="AO68" i="2"/>
  <c r="AH80" i="2"/>
  <c r="AO75" i="2"/>
  <c r="AO79" i="2"/>
  <c r="AO89" i="2"/>
  <c r="AV89" i="2" s="1"/>
  <c r="AR66" i="2"/>
  <c r="AO66" i="2"/>
  <c r="AH68" i="2"/>
  <c r="AS68" i="2"/>
  <c r="AR90" i="2"/>
  <c r="AO90" i="2"/>
  <c r="AV90" i="2" s="1"/>
  <c r="AR67" i="2"/>
  <c r="AO67" i="2"/>
  <c r="AH77" i="2"/>
  <c r="AS77" i="2"/>
  <c r="AO74" i="2"/>
  <c r="AV74" i="2" s="1"/>
  <c r="AH64" i="2"/>
  <c r="AS79" i="2"/>
  <c r="AO65" i="2"/>
  <c r="AR82" i="2"/>
  <c r="AO82" i="2"/>
  <c r="AH84" i="2"/>
  <c r="AS55" i="2"/>
  <c r="AO55" i="2"/>
  <c r="AV55" i="2" s="1"/>
  <c r="AR50" i="2"/>
  <c r="AO50" i="2"/>
  <c r="AV50" i="2" s="1"/>
  <c r="AO42" i="2"/>
  <c r="AO51" i="2"/>
  <c r="AR49" i="2"/>
  <c r="AO49" i="2"/>
  <c r="AH62" i="2"/>
  <c r="AS62" i="2"/>
  <c r="AO56" i="2"/>
  <c r="AH46" i="2"/>
  <c r="AS46" i="2"/>
  <c r="AH52" i="2"/>
  <c r="AS52" i="2"/>
  <c r="AR47" i="2"/>
  <c r="AO47" i="2"/>
  <c r="AH44" i="2"/>
  <c r="AS44" i="2"/>
  <c r="AR43" i="2"/>
  <c r="AO43" i="2"/>
  <c r="AO48" i="2"/>
  <c r="AO54" i="2"/>
  <c r="AH53" i="2"/>
  <c r="AS53" i="2"/>
  <c r="AH42" i="2"/>
  <c r="AS42" i="2"/>
  <c r="AS48" i="2"/>
  <c r="AH41" i="2"/>
  <c r="AS41" i="2"/>
  <c r="AH31" i="2"/>
  <c r="AS31" i="2"/>
  <c r="AO34" i="2"/>
  <c r="AH26" i="2"/>
  <c r="AS26" i="2"/>
  <c r="AH6" i="2"/>
  <c r="AS6" i="2"/>
  <c r="AO23" i="2"/>
  <c r="AR29" i="2"/>
  <c r="AO29" i="2"/>
  <c r="AO21" i="2"/>
  <c r="AH28" i="2"/>
  <c r="AS28" i="2"/>
  <c r="AR16" i="2"/>
  <c r="AS20" i="2"/>
  <c r="AO20" i="2"/>
  <c r="AV20" i="2" s="1"/>
  <c r="AO37" i="2"/>
  <c r="AH7" i="2"/>
  <c r="AS101" i="2"/>
  <c r="AR74" i="2"/>
  <c r="AR4" i="2"/>
  <c r="AP4" i="2"/>
  <c r="AH109" i="2"/>
  <c r="AH95" i="2"/>
  <c r="AH111" i="2"/>
  <c r="AR23" i="2"/>
  <c r="AR42" i="2"/>
  <c r="AR89" i="2"/>
  <c r="AR34" i="2"/>
  <c r="AR6" i="2"/>
  <c r="AS102" i="2"/>
  <c r="AH98" i="2"/>
  <c r="AS23" i="2"/>
  <c r="AS97" i="2"/>
  <c r="AR112" i="2"/>
  <c r="AP112" i="2"/>
  <c r="AR88" i="2"/>
  <c r="AR108" i="2"/>
  <c r="AS112" i="2"/>
  <c r="AP6" i="2"/>
  <c r="AR87" i="2"/>
  <c r="AS29" i="2"/>
  <c r="AS43" i="2"/>
  <c r="AS94" i="2"/>
  <c r="AR94" i="2"/>
  <c r="AR92" i="2"/>
  <c r="AR5" i="2"/>
  <c r="AH69" i="2"/>
  <c r="AH99" i="2"/>
  <c r="AS117" i="2"/>
  <c r="AR76" i="2"/>
  <c r="AS76" i="2"/>
  <c r="AP76" i="2"/>
  <c r="AH85" i="2"/>
  <c r="AR106" i="2"/>
  <c r="AP106" i="2"/>
  <c r="AS106" i="2"/>
  <c r="AS49" i="2"/>
  <c r="AS113" i="2"/>
  <c r="AH104" i="2"/>
  <c r="AH93" i="2"/>
  <c r="AS5" i="2"/>
  <c r="AS90" i="2"/>
  <c r="AR65" i="2"/>
  <c r="AS81" i="2"/>
  <c r="AP81" i="2"/>
  <c r="AR81" i="2"/>
  <c r="AH18" i="2"/>
  <c r="AR54" i="2"/>
  <c r="AR56" i="2"/>
  <c r="AR55" i="2"/>
  <c r="AH58" i="2"/>
  <c r="AP11" i="2"/>
  <c r="AS21" i="2"/>
  <c r="AR21" i="2"/>
  <c r="AR61" i="2"/>
  <c r="AS61" i="2"/>
  <c r="AP61" i="2"/>
  <c r="AH60" i="2"/>
  <c r="AR57" i="2"/>
  <c r="AS57" i="2"/>
  <c r="AP57" i="2"/>
  <c r="AH45" i="2"/>
  <c r="AH17" i="2"/>
  <c r="AH2" i="2"/>
  <c r="AH11" i="2"/>
  <c r="AH33" i="2"/>
  <c r="AR11" i="2"/>
  <c r="AR20" i="2"/>
  <c r="AS1" i="2"/>
  <c r="AR1" i="2"/>
  <c r="AP9" i="2"/>
  <c r="AR9" i="2"/>
  <c r="AS9" i="2"/>
  <c r="AR10" i="2"/>
  <c r="AP10" i="2"/>
  <c r="AS10" i="2"/>
  <c r="AH13" i="2"/>
  <c r="AH8" i="2"/>
  <c r="AH16" i="2"/>
  <c r="AH115" i="2"/>
  <c r="AH91" i="2"/>
  <c r="AH103" i="2"/>
  <c r="AH12" i="2"/>
  <c r="AH66" i="2"/>
  <c r="AH105" i="2"/>
  <c r="AH15" i="2"/>
  <c r="AH82" i="2"/>
  <c r="AH35" i="2"/>
  <c r="AH32" i="2"/>
  <c r="AH114" i="2"/>
  <c r="AH59" i="2"/>
  <c r="AH67" i="2"/>
  <c r="AH40" i="2"/>
  <c r="AH36" i="2"/>
  <c r="AH14" i="2"/>
  <c r="AH83" i="2"/>
  <c r="AH30" i="2"/>
  <c r="AH100" i="2"/>
  <c r="AH116" i="2"/>
  <c r="AH118" i="2"/>
  <c r="AH78" i="2"/>
  <c r="H106" i="2"/>
  <c r="H114" i="2"/>
  <c r="AH75" i="2" l="1"/>
  <c r="AV63" i="2"/>
  <c r="AP113" i="2"/>
  <c r="AH55" i="2"/>
  <c r="AP89" i="2"/>
  <c r="AH48" i="2"/>
  <c r="AH101" i="2"/>
  <c r="AH63" i="2"/>
  <c r="AP101" i="2"/>
  <c r="AP50" i="2"/>
  <c r="AH96" i="2"/>
  <c r="AP92" i="2"/>
  <c r="AH20" i="2"/>
  <c r="AV30" i="2"/>
  <c r="AP30" i="2"/>
  <c r="AP87" i="2"/>
  <c r="AV87" i="2"/>
  <c r="AP2" i="2"/>
  <c r="AV2" i="2"/>
  <c r="AP34" i="2"/>
  <c r="AV34" i="2"/>
  <c r="AP42" i="2"/>
  <c r="AV42" i="2"/>
  <c r="AP67" i="2"/>
  <c r="AV67" i="2"/>
  <c r="AP96" i="2"/>
  <c r="AV96" i="2"/>
  <c r="AP88" i="2"/>
  <c r="AV88" i="2"/>
  <c r="AP117" i="2"/>
  <c r="AV117" i="2"/>
  <c r="AP48" i="2"/>
  <c r="AV48" i="2"/>
  <c r="AP37" i="2"/>
  <c r="AV37" i="2"/>
  <c r="AP47" i="2"/>
  <c r="AV47" i="2"/>
  <c r="AP108" i="2"/>
  <c r="AV108" i="2"/>
  <c r="AP97" i="2"/>
  <c r="AV97" i="2"/>
  <c r="AP49" i="2"/>
  <c r="AV49" i="2"/>
  <c r="AP43" i="2"/>
  <c r="AV43" i="2"/>
  <c r="AP82" i="2"/>
  <c r="AV82" i="2"/>
  <c r="AP66" i="2"/>
  <c r="AV66" i="2"/>
  <c r="AV80" i="2"/>
  <c r="AP80" i="2"/>
  <c r="AH29" i="2"/>
  <c r="AP68" i="2"/>
  <c r="AV68" i="2"/>
  <c r="AP65" i="2"/>
  <c r="AV65" i="2"/>
  <c r="AP51" i="2"/>
  <c r="AV51" i="2"/>
  <c r="AP21" i="2"/>
  <c r="AV21" i="2"/>
  <c r="AP56" i="2"/>
  <c r="AV56" i="2"/>
  <c r="AP91" i="2"/>
  <c r="AV91" i="2"/>
  <c r="AP20" i="2"/>
  <c r="AP90" i="2"/>
  <c r="AP29" i="2"/>
  <c r="AV29" i="2"/>
  <c r="AP79" i="2"/>
  <c r="AV79" i="2"/>
  <c r="AP94" i="2"/>
  <c r="AV94" i="2"/>
  <c r="AP55" i="2"/>
  <c r="AP74" i="2"/>
  <c r="AP23" i="2"/>
  <c r="AV23" i="2"/>
  <c r="AP54" i="2"/>
  <c r="AV54" i="2"/>
  <c r="AP75" i="2"/>
  <c r="AV75" i="2"/>
  <c r="AP102" i="2"/>
  <c r="AV102" i="2"/>
  <c r="AV31" i="2"/>
  <c r="AP31" i="2"/>
  <c r="AH108" i="2"/>
  <c r="AS108" i="2"/>
  <c r="AH92" i="2"/>
  <c r="AS92" i="2"/>
  <c r="AH102" i="2"/>
  <c r="AH89" i="2"/>
  <c r="AS89" i="2"/>
  <c r="AH65" i="2"/>
  <c r="AS65" i="2"/>
  <c r="AH74" i="2"/>
  <c r="AS74" i="2"/>
  <c r="AH79" i="2"/>
  <c r="AH87" i="2"/>
  <c r="AS87" i="2"/>
  <c r="AH88" i="2"/>
  <c r="AS88" i="2"/>
  <c r="AH47" i="2"/>
  <c r="AS47" i="2"/>
  <c r="AS51" i="2"/>
  <c r="AH51" i="2"/>
  <c r="AH54" i="2"/>
  <c r="AS54" i="2"/>
  <c r="AH56" i="2"/>
  <c r="AS56" i="2"/>
  <c r="AH50" i="2"/>
  <c r="AS50" i="2"/>
  <c r="AH34" i="2"/>
  <c r="AS34" i="2"/>
  <c r="AH37" i="2"/>
  <c r="AS37" i="2"/>
  <c r="AH23" i="2"/>
  <c r="AH97" i="2"/>
  <c r="AH43" i="2"/>
  <c r="AH112" i="2"/>
  <c r="AH76" i="2"/>
  <c r="AH117" i="2"/>
  <c r="AH94" i="2"/>
  <c r="AH113" i="2"/>
  <c r="AH90" i="2"/>
  <c r="AH49" i="2"/>
  <c r="AH106" i="2"/>
  <c r="AH5" i="2"/>
  <c r="AH81" i="2"/>
  <c r="AH21" i="2"/>
  <c r="AH57" i="2"/>
  <c r="AH61" i="2"/>
  <c r="AH1" i="2"/>
  <c r="AH9" i="2"/>
  <c r="AH10" i="2"/>
</calcChain>
</file>

<file path=xl/sharedStrings.xml><?xml version="1.0" encoding="utf-8"?>
<sst xmlns="http://schemas.openxmlformats.org/spreadsheetml/2006/main" count="971" uniqueCount="527">
  <si>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</si>
  <si>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</si>
  <si>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</si>
  <si>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</si>
  <si>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</si>
  <si>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</si>
  <si>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</si>
  <si>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</si>
  <si>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</si>
  <si>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</si>
  <si>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</si>
  <si>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</si>
  <si>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</si>
  <si>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</si>
  <si>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</si>
  <si>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</si>
  <si>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</si>
  <si>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</si>
  <si>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</si>
  <si>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</si>
  <si>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</si>
  <si>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</si>
  <si>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</si>
  <si>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</si>
  <si>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</si>
  <si>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</si>
  <si>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</si>
  <si>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</si>
  <si>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</si>
  <si>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</si>
  <si>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</si>
  <si>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</si>
  <si>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</si>
  <si>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</si>
  <si>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</si>
  <si>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</si>
  <si>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</si>
  <si>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</si>
  <si>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</si>
  <si>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</si>
  <si>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</si>
  <si>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</si>
  <si>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</si>
  <si>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</si>
  <si>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</si>
  <si>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</si>
  <si>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</si>
  <si>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</si>
  <si>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</si>
  <si>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</si>
  <si>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</si>
  <si>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</si>
  <si>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</si>
  <si>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</si>
  <si>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</si>
  <si>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</si>
  <si>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</si>
  <si>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</si>
  <si>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</si>
  <si>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</si>
  <si>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</si>
  <si>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</si>
  <si>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</si>
  <si>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</si>
  <si>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</si>
  <si>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</si>
  <si>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</si>
  <si>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</si>
  <si>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</si>
  <si>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</si>
  <si>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</si>
  <si>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</si>
  <si>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</si>
  <si>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</si>
  <si>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</si>
  <si>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</si>
  <si>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</si>
  <si>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</si>
  <si>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</si>
  <si>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</si>
  <si>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</si>
  <si>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</si>
  <si>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</si>
  <si>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</si>
  <si>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</si>
  <si>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</si>
  <si>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</si>
  <si>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</si>
  <si>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</si>
  <si>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</si>
  <si>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</si>
  <si>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</si>
  <si>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</si>
  <si>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</si>
  <si>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</si>
  <si>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</si>
  <si>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</si>
  <si>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</si>
  <si>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</si>
  <si>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</si>
  <si>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</si>
  <si>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</si>
  <si>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</si>
  <si>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</si>
  <si>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</si>
  <si>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</si>
  <si>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</si>
  <si>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</si>
  <si>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</si>
  <si>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</si>
  <si>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</si>
  <si>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</si>
  <si>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</si>
  <si>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</si>
  <si>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</si>
  <si>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</si>
  <si>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</si>
  <si>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</si>
  <si>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</si>
  <si>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</si>
  <si>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</si>
  <si>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</si>
  <si>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</si>
  <si>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</si>
  <si>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</si>
  <si>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</si>
  <si>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</si>
  <si>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</si>
  <si>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</si>
  <si>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</si>
  <si>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</si>
  <si>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</si>
  <si>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</si>
  <si>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</si>
  <si>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</si>
  <si>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</si>
  <si>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</si>
  <si>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</si>
  <si>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</si>
  <si>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</si>
  <si>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</si>
  <si>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</si>
  <si>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</si>
  <si>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</si>
  <si>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</si>
  <si>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</si>
  <si>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</si>
  <si>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</si>
  <si>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</si>
  <si>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</si>
  <si>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</si>
  <si>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</si>
  <si>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</si>
  <si>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</si>
  <si>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</si>
  <si>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</si>
  <si>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</si>
  <si>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</si>
  <si>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</si>
  <si>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</si>
  <si>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</si>
  <si>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</si>
  <si>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</si>
  <si>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</si>
  <si>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</si>
  <si>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</si>
  <si>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</si>
  <si>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</si>
  <si>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</si>
  <si>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</si>
  <si>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</si>
  <si>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</si>
  <si>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</si>
  <si>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</si>
  <si>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</si>
  <si>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</si>
  <si>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</si>
  <si>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</si>
  <si>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</si>
  <si>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</si>
  <si>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</si>
  <si>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</si>
  <si>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</si>
  <si>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</si>
  <si>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</si>
  <si>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</si>
  <si>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</si>
  <si>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</si>
  <si>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</si>
  <si>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</si>
  <si>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</si>
  <si>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</si>
  <si>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</si>
  <si>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</si>
  <si>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</si>
  <si>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</si>
  <si>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</si>
  <si>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</si>
  <si>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</si>
  <si>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</si>
  <si>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</si>
  <si>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</si>
  <si>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</si>
  <si>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</si>
  <si>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</si>
  <si>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</si>
  <si>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</si>
  <si>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</si>
  <si>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</si>
  <si>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</si>
  <si>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</si>
  <si>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</si>
  <si>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</si>
  <si>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</si>
  <si>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</si>
  <si>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</si>
  <si>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</si>
  <si>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</si>
  <si>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</si>
  <si>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</si>
  <si>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</si>
  <si>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</si>
  <si>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</si>
  <si>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</si>
  <si>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</si>
  <si>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</si>
  <si>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</si>
  <si>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</si>
  <si>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</si>
  <si>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</si>
  <si>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</si>
  <si>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</si>
  <si>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</si>
  <si>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</si>
  <si>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</si>
  <si>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</si>
  <si>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</si>
  <si>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</si>
  <si>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</si>
  <si>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</si>
  <si>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</si>
  <si>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</si>
  <si>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</si>
  <si>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</si>
  <si>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</si>
  <si>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</si>
  <si>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</si>
  <si>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</si>
  <si>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</si>
  <si>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</si>
  <si>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</si>
  <si>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</si>
  <si>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</si>
  <si>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</si>
  <si>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</si>
  <si>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</si>
  <si>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</si>
  <si>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</si>
  <si>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</si>
  <si>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</si>
  <si>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</si>
  <si>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</si>
  <si>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</si>
  <si>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</si>
  <si>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</si>
  <si>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</si>
  <si>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</si>
  <si>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</si>
  <si>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</si>
  <si>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</si>
  <si>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</si>
  <si>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</si>
  <si>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</si>
  <si>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</si>
  <si>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</si>
  <si>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</si>
  <si>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</si>
  <si>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</si>
  <si>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</si>
  <si>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</si>
  <si>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</si>
  <si>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</si>
  <si>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</si>
  <si>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</si>
  <si>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</si>
  <si>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</si>
  <si>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</si>
  <si>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</si>
  <si>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</si>
  <si>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</si>
  <si>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</si>
  <si>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</si>
  <si>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</si>
  <si>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</si>
  <si>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</si>
  <si>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</si>
  <si>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</si>
  <si>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</si>
  <si>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</si>
  <si>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</si>
  <si>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</si>
  <si>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</si>
  <si>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</si>
  <si>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</si>
  <si>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</si>
  <si>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</si>
  <si>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</si>
  <si>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</si>
  <si>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</si>
  <si>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</si>
  <si>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</si>
  <si>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</si>
  <si>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</si>
  <si>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</si>
  <si>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</si>
  <si>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</si>
  <si>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</si>
  <si>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</si>
  <si>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</si>
  <si>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</si>
  <si>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</si>
  <si>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</si>
  <si>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</si>
  <si>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</si>
  <si>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</si>
  <si>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</si>
  <si>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</si>
  <si>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</si>
  <si>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</si>
  <si>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</si>
  <si>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</si>
  <si>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</si>
  <si>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</si>
  <si>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</si>
  <si>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</si>
  <si>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</si>
  <si>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</si>
  <si>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</si>
  <si>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</si>
  <si>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</si>
  <si>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</si>
  <si>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</si>
  <si>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</si>
  <si>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</si>
  <si>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</si>
  <si>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</si>
  <si>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</si>
  <si>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</si>
  <si>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</si>
  <si>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</si>
  <si>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</si>
  <si>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</si>
  <si>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</si>
  <si>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</si>
  <si>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</si>
  <si>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</si>
  <si>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</si>
  <si>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</si>
  <si>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</si>
  <si>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</si>
  <si>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</si>
  <si>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</si>
  <si>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</si>
  <si>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</si>
  <si>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</si>
  <si>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</si>
  <si>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</si>
  <si>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</si>
  <si>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</si>
  <si>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</si>
  <si>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</si>
  <si>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</si>
  <si>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</si>
  <si>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</si>
  <si>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</si>
  <si>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</si>
  <si>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</si>
  <si>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</si>
  <si>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</si>
  <si>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</si>
  <si>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</si>
  <si>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</si>
  <si>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</si>
  <si>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</si>
  <si>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</si>
  <si>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</si>
  <si>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</si>
  <si>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</si>
  <si>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</si>
  <si>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</si>
  <si>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</si>
  <si>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</si>
  <si>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</si>
  <si>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</si>
  <si>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</si>
  <si>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</si>
  <si>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</si>
  <si>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</si>
  <si>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</si>
  <si>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</si>
  <si>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</si>
  <si>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</si>
  <si>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</si>
  <si>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</si>
  <si>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</si>
  <si>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</si>
  <si>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</si>
  <si>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</si>
  <si>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</si>
  <si>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</si>
  <si>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</si>
  <si>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</si>
  <si>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</si>
  <si>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</si>
  <si>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</si>
  <si>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</si>
  <si>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</si>
  <si>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</si>
  <si>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</si>
  <si>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</si>
  <si>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</si>
  <si>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</si>
  <si>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</si>
  <si>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</si>
  <si>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</si>
  <si>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</si>
  <si>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</si>
  <si>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</si>
  <si>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</si>
  <si>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</si>
  <si>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</si>
  <si>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</si>
  <si>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</si>
  <si>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</si>
  <si>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</si>
  <si>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</si>
  <si>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</si>
  <si>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</si>
  <si>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</si>
  <si>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</si>
  <si>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</si>
  <si>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</si>
  <si>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</si>
  <si>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</si>
  <si>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</si>
  <si>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</si>
  <si>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</si>
  <si>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</si>
  <si>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</si>
  <si>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</si>
  <si>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</si>
  <si>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</si>
  <si>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</si>
  <si>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</si>
  <si>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</si>
  <si>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</si>
  <si>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</si>
  <si>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</si>
  <si>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</si>
  <si>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</si>
  <si>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</si>
  <si>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</si>
  <si>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</si>
  <si>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</si>
  <si>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</si>
  <si>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</si>
  <si>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</si>
  <si>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</si>
  <si>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</si>
  <si>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</si>
  <si>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</si>
  <si>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</si>
  <si>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</si>
  <si>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</si>
  <si>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</si>
  <si>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</si>
  <si>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</si>
  <si>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</si>
  <si>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</si>
  <si>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</si>
  <si>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</si>
  <si>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</si>
  <si>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</si>
  <si>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</si>
  <si>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</si>
  <si>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</si>
  <si>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</si>
  <si>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</si>
  <si>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</si>
  <si>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</si>
  <si>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7p</t>
  </si>
  <si>
    <t>n</t>
  </si>
  <si>
    <t>Zeff</t>
  </si>
  <si>
    <t>ion</t>
  </si>
  <si>
    <t>Molybdenum</t>
  </si>
  <si>
    <t>Bohr's Constant</t>
  </si>
  <si>
    <t>kg</t>
  </si>
  <si>
    <t>Electron Mass (me​)</t>
  </si>
  <si>
    <t>Elementary Charge €</t>
  </si>
  <si>
    <t>F/m</t>
  </si>
  <si>
    <t>Proton Mass (mp​)</t>
  </si>
  <si>
    <t>Neutron Mass (mn​)</t>
  </si>
  <si>
    <t>Atomic Mass Unit (u)</t>
  </si>
  <si>
    <t>Vacuum Permittivity (ϵ0​)</t>
  </si>
  <si>
    <t>Bohr Radius (a0​)</t>
  </si>
  <si>
    <t>Shielding [S]</t>
  </si>
  <si>
    <t>Visual Identification Wavelength [nm]</t>
  </si>
  <si>
    <t>Visible Wavelength [nm]</t>
  </si>
  <si>
    <t>AVG MASS [u]</t>
  </si>
  <si>
    <t>Density [g/cm3]</t>
  </si>
  <si>
    <t>Bond Energy Enthalpy (kJ/mol)</t>
  </si>
  <si>
    <t>Heat Capacity  (J/gK)</t>
  </si>
  <si>
    <t>Plasma Frequency [Hz]</t>
  </si>
  <si>
    <t>Dipole Moment [Cm]</t>
  </si>
  <si>
    <t>Absolute Atomic Mass [u]</t>
  </si>
  <si>
    <t>Nuclear Radius [m]</t>
  </si>
  <si>
    <t>Nucleon Mass [u]</t>
  </si>
  <si>
    <t>Orbital Path Length [m]</t>
  </si>
  <si>
    <t>Orbital Time Period [s]</t>
  </si>
  <si>
    <t>Atomic Polarizability (α) [C²·m²/J]</t>
  </si>
  <si>
    <t>Volume [Å˚3]</t>
  </si>
  <si>
    <t>Polarizability Volume [Å˚3]</t>
  </si>
  <si>
    <t>Atomic Radius [Å]</t>
  </si>
  <si>
    <t>Force Gravity/Magnetism at radius [N]</t>
  </si>
  <si>
    <t>Temperature [K]</t>
  </si>
  <si>
    <t>Linear Thermal Expansion Coefficient (α)</t>
  </si>
  <si>
    <t>Thermal Expansion Coeff (α)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</si>
</sst>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E+00"/>
    <numFmt numFmtId="165" formatCode="#\ ???/???"/>
    <numFmt numFmtId="168" formatCode="0.0000000000000000E+00"/>
    <numFmt numFmtId="172" formatCode="0.00000000000000E+00"/>
  </numFmts>
  <fonts count="4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32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3" fillId="14" borderId="0" xfId="0" applyFont="1" applyFill="1"/>
    <xf numFmtId="0" fontId="3" fillId="14" borderId="3" xfId="1" applyFont="1" applyFill="1"/>
    <xf numFmtId="12" fontId="3" fillId="14" borderId="0" xfId="0" applyNumberFormat="1" applyFont="1" applyFill="1"/>
    <xf numFmtId="13" fontId="3" fillId="14" borderId="0" xfId="0" applyNumberFormat="1" applyFont="1" applyFill="1"/>
    <xf numFmtId="0" fontId="1" fillId="15" borderId="3" xfId="1" applyFill="1"/>
    <xf numFmtId="12" fontId="0" fillId="15" borderId="0" xfId="0" applyNumberFormat="1" applyFill="1"/>
    <xf numFmtId="0" fontId="2" fillId="0" borderId="0" xfId="0" applyFont="1"/>
    <xf numFmtId="165" fontId="0" fillId="0" borderId="0" xfId="0" applyNumberFormat="1"/>
    <xf numFmtId="165" fontId="3" fillId="14" borderId="0" xfId="0" applyNumberFormat="1" applyFont="1" applyFill="1"/>
    <xf numFmtId="168" fontId="0" fillId="0" borderId="0" xfId="0" applyNumberFormat="1"/>
    <xf numFmtId="168" fontId="3" fillId="14" borderId="0" xfId="0" applyNumberFormat="1" applyFont="1" applyFill="1"/>
    <xf numFmtId="172" fontId="0" fillId="0" borderId="0" xfId="0" applyNumberFormat="1"/>
    <xf numFmtId="172" fontId="3" fillId="14" borderId="0" xfId="0" applyNumberFormat="1" applyFon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Z130"/>
  <sheetViews>
    <sheetView tabSelected="1" topLeftCell="E1" zoomScale="70" zoomScaleNormal="70" workbookViewId="0">
      <selection activeCell="AQ1" sqref="AQ1:AQ118"/>
    </sheetView>
  </sheetViews>
  <sheetFormatPr defaultColWidth="8.77734375" defaultRowHeight="15.6" x14ac:dyDescent="0.3"/>
  <cols>
    <col min="1" max="1" width="11.77734375" customWidth="1"/>
    <col min="2" max="2" width="16.6640625" customWidth="1"/>
    <col min="3" max="3" width="14" customWidth="1"/>
    <col min="4" max="4" width="22" customWidth="1"/>
    <col min="5" max="5" width="16.77734375" style="23" customWidth="1"/>
    <col min="6" max="6" width="16.109375" customWidth="1"/>
    <col min="7" max="7" width="27" style="26" customWidth="1"/>
    <col min="8" max="8" width="17.33203125" style="26" customWidth="1"/>
    <col min="9" max="9" width="31.6640625" style="26" customWidth="1"/>
    <col min="10" max="10" width="23.88671875" style="26" customWidth="1"/>
    <col min="11" max="11" width="22.6640625" style="30" customWidth="1"/>
    <col min="12" max="12" width="11.77734375" style="24" customWidth="1"/>
    <col min="13" max="13" width="8.77734375" style="18"/>
    <col min="27" max="27" width="8.77734375" customWidth="1"/>
    <col min="33" max="33" width="25.88671875" style="26" customWidth="1"/>
    <col min="34" max="34" width="22.21875" style="26" customWidth="1"/>
    <col min="35" max="35" width="31.21875" style="26" customWidth="1"/>
    <col min="36" max="36" width="29.21875" style="26" customWidth="1"/>
    <col min="37" max="37" width="28" style="28" customWidth="1"/>
    <col min="38" max="38" width="32.44140625" customWidth="1"/>
    <col min="41" max="41" width="38.21875" style="28" customWidth="1"/>
    <col min="42" max="42" width="25" style="28" customWidth="1"/>
    <col min="43" max="43" width="26" style="28" customWidth="1"/>
    <col min="44" max="44" width="44.6640625" style="26" customWidth="1"/>
    <col min="45" max="45" width="29.33203125" style="26" customWidth="1"/>
    <col min="46" max="46" width="36" customWidth="1"/>
    <col min="47" max="47" width="25.109375" customWidth="1"/>
    <col min="48" max="48" width="33.109375" customWidth="1"/>
    <col min="49" max="49" width="44.88671875" style="30" customWidth="1"/>
    <col min="51" max="51" width="20.21875" customWidth="1"/>
    <col min="52" max="52" width="20.88671875" customWidth="1"/>
  </cols>
  <sheetData>
    <row r="1" spans="1:52" x14ac:dyDescent="0.3">
      <c r="A1">
        <v>1</v>
      </c>
      <c r="B1" t="s">
        <v>112</v>
      </c>
      <c r="C1" t="s">
        <v>0</v>
      </c>
      <c r="D1" t="s">
        <v>233</v>
      </c>
      <c r="E1" s="23">
        <v>1</v>
      </c>
      <c r="F1">
        <v>0</v>
      </c>
      <c r="G1" s="26">
        <f>(A1 * 1.007276) + (F1 * 1.008665) + (L1 * 0.00054858)</f>
        <v>1.0078245800000001</v>
      </c>
      <c r="H1" s="26">
        <f>(G1-(A1*'Atomic Particles'!C1))/'Atomic Particles'!C2+A1</f>
        <v>1.0005426638964758</v>
      </c>
      <c r="I1" s="26">
        <f>(0.529177210544 * (M1^2 / (A1 - AG1))) * (1 + AZ1 * (AY1 - 298.15))</f>
        <v>0.52917721054400002</v>
      </c>
      <c r="J1" s="26">
        <f>(('Atomic Particles'!C1)*A1)+(('Atomic Particles'!C2)*Elements!F1)</f>
        <v>1.0072772134220349</v>
      </c>
      <c r="K1" s="30">
        <f>(E1^(1/3))*Constants!B2</f>
        <v>1.25E-15</v>
      </c>
      <c r="L1" s="24">
        <v>1</v>
      </c>
      <c r="M1" s="18">
        <v>1</v>
      </c>
      <c r="AF1">
        <v>1</v>
      </c>
      <c r="AG1" s="26">
        <f>IF(A1=1, 0, IF(A1=2, 0.3, IF(A1&lt;=10, 0.35*(N1+O1-1)+0.85*M1, IF(A1&lt;=18, 0.35*(P1+Q1-1)+0.85*(N1+O1)+M1, IF(A1&lt;=36, 0.35*(S1+T1-1)+0.85*(P1+Q1+R1)+(M1+N1+O1), IF(A1&lt;=54, 0.35*(W1+X1-1)+0.85*(S1+T1+U1)+(M1+N1+O1+P1+Q1+R1), IF(A1&lt;=86, 0.35*(AA1+AB1-1)+0.85*(W1+X1+Y1+Z1)+(M1+N1+O1+P1+Q1+R1+S1+T1+U1+V1), IF(A1&lt;=118, 0.35*(AD1+AE1-1)+0.85*(AA1+AB1+AC1)+(M1+N1+O1+P1+Q1+R1+S1+T1+U1+V1+W1+X1+Y1+Z1), 0))))))))</f>
        <v>0</v>
      </c>
      <c r="AH1" s="26">
        <f>(G1 * 1.6605E-24) / (AI1 * 1E-24)</f>
        <v>2.696074065916291</v>
      </c>
      <c r="AI1" s="26">
        <f>((4/3) * PI() * (I1^3)) * (1 + 3 * AZ1 * (AY1 - 298.15))</f>
        <v>0.62071466665039299</v>
      </c>
      <c r="AJ1" s="26">
        <f>(A1*1.67262192369E-27 + F1*1.67492749804E-27 + L1*9.1093837015E-31) / 1.6605390666E-27</f>
        <v>1.0078250465294716</v>
      </c>
      <c r="AK1" s="28">
        <f>2 * 3.14159265358979 * (I1 * 0.0000000001)</f>
        <v>3.324918474184336E-10</v>
      </c>
      <c r="AL1">
        <f>SQRT( (16 * (3.14159265358979^3) * 8.8541878128E-12 * 9.1093837015E-31 * ((I1 * 0.0000000001)^3)) / (AN1 * (1.602176634E-19^2)) )</f>
        <v>1.5198298445092223E-16</v>
      </c>
      <c r="AM1" s="15">
        <f>(A1) - (L1)</f>
        <v>0</v>
      </c>
      <c r="AN1">
        <f>A1-AG1</f>
        <v>1</v>
      </c>
      <c r="AO1" s="28">
        <f>4 * PI() * 8.854187817E-12 * (I1 * 0.0000000001)^3</f>
        <v>1.6487772717867382E-41</v>
      </c>
      <c r="AP1" s="28">
        <f>AO1 * 10^12</f>
        <v>1.648777271786738E-29</v>
      </c>
      <c r="AQ1" s="28">
        <f>((1 / (2 * 3.14159265358979)) * SQRT((A1 * (1.602176634E-19^2)) / ((AI1 * 1E-30) * 9.1093837015E-31 * 8.8541878128E-12))) * SQRT(((4/3) * PI() * (I1^3)) / AI1)</f>
        <v>1.1396346859659042E+16</v>
      </c>
      <c r="AR1" s="26">
        <f>I1 * 350</f>
        <v>185.2120236904</v>
      </c>
      <c r="AS1" s="26">
        <f>299792458000000000 / AQ1</f>
        <v>26.30601382107891</v>
      </c>
      <c r="AT1" s="26">
        <f>((1 / (4 * 3.14159265358979 * 8.8541878128E-12)) * ((AN1 * (1.602176634E-19^2)) / (I1 * 0.0000000001))) * 6.02214076E+23 / 1000</f>
        <v>2625.4996412554306</v>
      </c>
      <c r="AU1" s="26">
        <f>(3 * 8.314462618) / G1</f>
        <v>24.749731599124125</v>
      </c>
      <c r="AV1" s="28">
        <f>AO1 / (1.11265005605E-40)</f>
        <v>0.14818471116067117</v>
      </c>
      <c r="AW1" s="30">
        <f>(8987551792.3 * (AN1 * 1.602176634E-19)) / ((I1 * 0.0000000001)^2)</f>
        <v>514220675462.09717</v>
      </c>
      <c r="AY1">
        <v>298.14999999999998</v>
      </c>
      <c r="AZ1" s="26">
        <f>(3 * 8.314462618) / (2 * AU1 * 1000)</f>
        <v>5.0391228999999995E-4</v>
      </c>
    </row>
    <row r="2" spans="1:52" x14ac:dyDescent="0.3">
      <c r="A2">
        <v>2</v>
      </c>
      <c r="B2" t="s">
        <v>113</v>
      </c>
      <c r="C2" t="s">
        <v>81</v>
      </c>
      <c r="D2" t="s">
        <v>234</v>
      </c>
      <c r="E2" s="23">
        <v>4</v>
      </c>
      <c r="F2">
        <f>E2-A2</f>
        <v>2</v>
      </c>
      <c r="G2" s="26">
        <f t="shared" ref="G2:G66" si="0">(A2 * 1.007276) + (F2 * 1.008665) + (L2 * 0.00054858)</f>
        <v>4.0329791599999991</v>
      </c>
      <c r="H2" s="26">
        <f>(G2-(A2*'Atomic Particles'!C1))/'Atomic Particles'!C2+A2</f>
        <v>4.0010835051523017</v>
      </c>
      <c r="I2" s="26">
        <f t="shared" ref="I2:I65" si="1">(0.529177210544 * (M2^2 / (A2 - AG2))) * (1 + AZ2 * (AY2 - 298.15))</f>
        <v>1.2451228483388237</v>
      </c>
      <c r="J2" s="26">
        <f>(('Atomic Particles'!C1)*A2)+(('Atomic Particles'!C2)*Elements!F2)</f>
        <v>4.0318862652795753</v>
      </c>
      <c r="K2" s="30">
        <f>(E2^(1/3))*Constants!B2</f>
        <v>1.9842513149602493E-15</v>
      </c>
      <c r="L2" s="24">
        <v>2</v>
      </c>
      <c r="M2" s="18">
        <v>2</v>
      </c>
      <c r="AF2">
        <v>1</v>
      </c>
      <c r="AG2" s="26">
        <f t="shared" ref="AG2:AG65" si="2">IF(A2=1, 0, IF(A2=2, 0.3, IF(A2&lt;=10, 0.35*(N2+O2-1)+0.85*M2, IF(A2&lt;=18, 0.35*(P2+Q2-1)+0.85*(N2+O2)+M2, IF(A2&lt;=36, 0.35*(S2+T2-1)+0.85*(P2+Q2+R2)+(M2+N2+O2), IF(A2&lt;=54, 0.35*(W2+X2-1)+0.85*(S2+T2+U2)+(M2+N2+O2+P2+Q2+R2), IF(A2&lt;=86, 0.35*(AA2+AB2-1)+0.85*(W2+X2+Y2+Z2)+(M2+N2+O2+P2+Q2+R2+S2+T2+U2+V2), IF(A2&lt;=118, 0.35*(AD2+AE2-1)+0.85*(AA2+AB2+AC2)+(M2+N2+O2+P2+Q2+R2+S2+T2+U2+V2+W2+X2+Y2+Z2), 0))))))))</f>
        <v>0.3</v>
      </c>
      <c r="AH2" s="26">
        <f t="shared" ref="AH2:AH65" si="3">(G2 * 1.6605E-24) / (AI2 * 1E-24)</f>
        <v>0.82820841842492576</v>
      </c>
      <c r="AI2" s="26">
        <f t="shared" ref="AI2:AI65" si="4">((4/3) * PI() * (I2^3)) * (1 + 3 * AZ2 * (AY2 - 298.15))</f>
        <v>8.0858413730155014</v>
      </c>
      <c r="AJ2" s="26">
        <f t="shared" ref="AJ2:AJ65" si="5">(A2*1.67262192369E-27 + F2*1.67492749804E-27 + L2*9.1093837015E-31) / 1.6605390666E-27</f>
        <v>4.0329799249543896</v>
      </c>
      <c r="AK2" s="28">
        <f t="shared" ref="AK2:AK65" si="6">2 * 3.14159265358979 * (I2 * 0.0000000001)</f>
        <v>7.8233375863160858E-10</v>
      </c>
      <c r="AL2">
        <f t="shared" ref="AL2:AL65" si="7">SQRT( (16 * (3.14159265358979^3) * 8.8541878128E-12 * 9.1093837015E-31 * ((I2 * 0.0000000001)^3)) / (AN2 * (1.602176634E-19^2)) )</f>
        <v>4.2071414380878126E-16</v>
      </c>
      <c r="AM2" s="15">
        <f t="shared" ref="AM2:AM65" si="8">A2 - L2</f>
        <v>0</v>
      </c>
      <c r="AN2">
        <f t="shared" ref="AN2:AN65" si="9">A2-AG2</f>
        <v>1.7</v>
      </c>
      <c r="AO2" s="28">
        <f t="shared" ref="AO2:AO65" si="10">4 * PI() * 8.854187817E-12 * (I2 * 0.0000000001)^3</f>
        <v>2.1478067452544523E-40</v>
      </c>
      <c r="AP2" s="28">
        <f t="shared" ref="AP2:AP65" si="11">AO2 * 10^12</f>
        <v>2.1478067452544522E-28</v>
      </c>
      <c r="AQ2" s="28">
        <f t="shared" ref="AQ2:AQ65" si="12">((1 / (2 * 3.14159265358979)) * SQRT((A2 * (1.602176634E-19^2)) / ((AI2 * 1E-30) * 9.1093837015E-31 * 8.8541878128E-12))) * SQRT(((4/3) * PI() * (I2^3)) / AI2)</f>
        <v>4465437877242660.5</v>
      </c>
      <c r="AR2" s="26">
        <f t="shared" ref="AR2:AR66" si="13">I2 * 350</f>
        <v>435.7929969185883</v>
      </c>
      <c r="AS2" s="26">
        <f t="shared" ref="AS2:AS65" si="14">299792458000000000 / AQ2</f>
        <v>67.136183783418176</v>
      </c>
      <c r="AT2" s="26">
        <f t="shared" ref="AT2:AT65" si="15">((1 / (4 * 3.14159265358979 * 8.8541878128E-12)) * ((AN2 * (1.602176634E-19^2)) / (I2 * 0.0000000001))) * 6.02214076E+23 / 1000</f>
        <v>1896.923490807048</v>
      </c>
      <c r="AU2" s="26">
        <f t="shared" ref="AU2:AU65" si="16">(3 * 8.314462618) / G2</f>
        <v>6.1848541399356023</v>
      </c>
      <c r="AV2" s="28">
        <f t="shared" ref="AV2:AV65" si="17">AO2 / (1.11265005605E-40)</f>
        <v>1.9303524352295856</v>
      </c>
      <c r="AW2" s="30">
        <f t="shared" ref="AW2:AW65" si="18">(8987551792.3 * (AN2 * 1.602176634E-19)) / ((I2 * 0.0000000001)^2)</f>
        <v>157897886159.0802</v>
      </c>
      <c r="AY2">
        <v>298.14999999999998</v>
      </c>
      <c r="AZ2" s="26">
        <f t="shared" ref="AZ2:AZ65" si="19">(3 * 8.314462618) / (2 * AU2 * 1000)</f>
        <v>2.0164895799999992E-3</v>
      </c>
    </row>
    <row r="3" spans="1:52" x14ac:dyDescent="0.3">
      <c r="A3">
        <v>3</v>
      </c>
      <c r="B3" t="s">
        <v>114</v>
      </c>
      <c r="C3" t="s">
        <v>1</v>
      </c>
      <c r="D3" t="s">
        <v>235</v>
      </c>
      <c r="E3" s="23">
        <v>7</v>
      </c>
      <c r="F3">
        <f t="shared" ref="F3:F64" si="20">E3-A3</f>
        <v>4</v>
      </c>
      <c r="G3" s="26">
        <f t="shared" si="0"/>
        <v>7.0581337399999997</v>
      </c>
      <c r="H3" s="26">
        <f>(G3-(A3*'Atomic Particles'!C1))/'Atomic Particles'!C2+A3</f>
        <v>7.0016243464081294</v>
      </c>
      <c r="I3" s="26">
        <f t="shared" si="1"/>
        <v>1.6282375709046153</v>
      </c>
      <c r="J3" s="26">
        <f>(('Atomic Particles'!C1)*A3)+(('Atomic Particles'!C2)*Elements!F3)</f>
        <v>7.0564953171371156</v>
      </c>
      <c r="K3" s="30">
        <f>(E3^(1/3))*Constants!B2</f>
        <v>2.3911639784654861E-15</v>
      </c>
      <c r="L3" s="24">
        <v>3</v>
      </c>
      <c r="M3" s="18">
        <v>2</v>
      </c>
      <c r="N3">
        <v>1</v>
      </c>
      <c r="AF3">
        <v>2</v>
      </c>
      <c r="AG3" s="26">
        <f t="shared" si="2"/>
        <v>1.7</v>
      </c>
      <c r="AH3" s="26">
        <f t="shared" si="3"/>
        <v>0.6481668846764288</v>
      </c>
      <c r="AI3" s="26">
        <f t="shared" si="4"/>
        <v>18.081810953857595</v>
      </c>
      <c r="AJ3" s="26">
        <f t="shared" si="5"/>
        <v>7.0581348033793079</v>
      </c>
      <c r="AK3" s="28">
        <f t="shared" si="6"/>
        <v>1.023051838210565E-9</v>
      </c>
      <c r="AL3">
        <f t="shared" si="7"/>
        <v>7.1944608024105174E-16</v>
      </c>
      <c r="AM3" s="15">
        <f t="shared" si="8"/>
        <v>0</v>
      </c>
      <c r="AN3">
        <f t="shared" si="9"/>
        <v>1.3</v>
      </c>
      <c r="AO3" s="28">
        <f t="shared" si="10"/>
        <v>4.8029925077082931E-40</v>
      </c>
      <c r="AP3" s="28">
        <f t="shared" si="11"/>
        <v>4.8029925077082934E-28</v>
      </c>
      <c r="AQ3" s="28">
        <f t="shared" si="12"/>
        <v>3657222035374085</v>
      </c>
      <c r="AR3" s="26">
        <f t="shared" si="13"/>
        <v>569.8831498166154</v>
      </c>
      <c r="AS3" s="26">
        <f t="shared" si="14"/>
        <v>81.97272550047272</v>
      </c>
      <c r="AT3" s="26">
        <f t="shared" si="15"/>
        <v>1109.2735984304195</v>
      </c>
      <c r="AU3" s="26">
        <f t="shared" si="16"/>
        <v>3.5339919549328349</v>
      </c>
      <c r="AV3" s="28">
        <f t="shared" si="17"/>
        <v>4.3167143897510014</v>
      </c>
      <c r="AW3" s="30">
        <f t="shared" si="18"/>
        <v>70608926499.389236</v>
      </c>
      <c r="AY3">
        <v>298.14999999999998</v>
      </c>
      <c r="AZ3" s="26">
        <f t="shared" si="19"/>
        <v>3.52906687E-3</v>
      </c>
    </row>
    <row r="4" spans="1:52" x14ac:dyDescent="0.3">
      <c r="A4">
        <v>4</v>
      </c>
      <c r="B4" t="s">
        <v>115</v>
      </c>
      <c r="C4" t="s">
        <v>7</v>
      </c>
      <c r="D4" t="s">
        <v>236</v>
      </c>
      <c r="E4" s="23">
        <v>9</v>
      </c>
      <c r="F4">
        <f t="shared" si="20"/>
        <v>5</v>
      </c>
      <c r="G4" s="26">
        <f t="shared" si="0"/>
        <v>9.0746233199999988</v>
      </c>
      <c r="H4" s="26">
        <f>(G4-(A4*'Atomic Particles'!C1))/'Atomic Particles'!C2+A4</f>
        <v>9.0021660989842793</v>
      </c>
      <c r="I4" s="26">
        <f t="shared" si="1"/>
        <v>1.0854917139364102</v>
      </c>
      <c r="J4" s="26">
        <f>(('Atomic Particles'!C1)*A4)+(('Atomic Particles'!C2)*Elements!F4)</f>
        <v>9.0724384497769037</v>
      </c>
      <c r="K4" s="30">
        <f>(E4^(1/3))*Constants!B2</f>
        <v>2.6001047788148802E-15</v>
      </c>
      <c r="L4" s="24">
        <v>4</v>
      </c>
      <c r="M4" s="18">
        <v>2</v>
      </c>
      <c r="N4">
        <v>2</v>
      </c>
      <c r="AF4">
        <v>2</v>
      </c>
      <c r="AG4" s="26">
        <f t="shared" si="2"/>
        <v>2.0499999999999998</v>
      </c>
      <c r="AH4" s="26">
        <f t="shared" si="3"/>
        <v>2.8125440923439617</v>
      </c>
      <c r="AI4" s="26">
        <f t="shared" si="4"/>
        <v>5.3575736159578051</v>
      </c>
      <c r="AJ4" s="26">
        <f t="shared" si="5"/>
        <v>9.0746247658565018</v>
      </c>
      <c r="AK4" s="28">
        <f t="shared" si="6"/>
        <v>6.8203455880704324E-10</v>
      </c>
      <c r="AL4">
        <f t="shared" si="7"/>
        <v>3.1975381344046742E-16</v>
      </c>
      <c r="AM4" s="15">
        <f t="shared" si="8"/>
        <v>0</v>
      </c>
      <c r="AN4">
        <f t="shared" si="9"/>
        <v>1.9500000000000002</v>
      </c>
      <c r="AO4" s="28">
        <f t="shared" si="10"/>
        <v>1.4231088911728274E-40</v>
      </c>
      <c r="AP4" s="28">
        <f t="shared" si="11"/>
        <v>1.4231088911728274E-28</v>
      </c>
      <c r="AQ4" s="28">
        <f t="shared" si="12"/>
        <v>7758139504553649</v>
      </c>
      <c r="AR4" s="26">
        <f t="shared" si="13"/>
        <v>379.92209987774356</v>
      </c>
      <c r="AS4" s="26">
        <f t="shared" si="14"/>
        <v>38.642313382485128</v>
      </c>
      <c r="AT4" s="26">
        <f t="shared" si="15"/>
        <v>2495.8655964684435</v>
      </c>
      <c r="AU4" s="26">
        <f t="shared" si="16"/>
        <v>2.7486967749973785</v>
      </c>
      <c r="AV4" s="28">
        <f t="shared" si="17"/>
        <v>1.2790264858521485</v>
      </c>
      <c r="AW4" s="30">
        <f t="shared" si="18"/>
        <v>238305126935.43872</v>
      </c>
      <c r="AY4">
        <v>298.14999999999998</v>
      </c>
      <c r="AZ4" s="26">
        <f t="shared" si="19"/>
        <v>4.5373116599999987E-3</v>
      </c>
    </row>
    <row r="5" spans="1:52" x14ac:dyDescent="0.3">
      <c r="A5">
        <v>5</v>
      </c>
      <c r="B5" t="s">
        <v>116</v>
      </c>
      <c r="C5" t="s">
        <v>51</v>
      </c>
      <c r="D5" t="s">
        <v>237</v>
      </c>
      <c r="E5" s="23">
        <v>10</v>
      </c>
      <c r="F5">
        <f t="shared" si="20"/>
        <v>5</v>
      </c>
      <c r="G5" s="26">
        <f t="shared" si="0"/>
        <v>10.0824479</v>
      </c>
      <c r="H5" s="26">
        <f>(G5-(A5*'Atomic Particles'!C1))/'Atomic Particles'!C2+A5</f>
        <v>10.002708762880758</v>
      </c>
      <c r="I5" s="26">
        <f t="shared" si="1"/>
        <v>0.81411878545230765</v>
      </c>
      <c r="J5" s="26">
        <f>(('Atomic Particles'!C1)*A5)+(('Atomic Particles'!C2)*Elements!F5)</f>
        <v>10.07971566319894</v>
      </c>
      <c r="K5" s="30">
        <f>(E5^(1/3))*Constants!B2</f>
        <v>2.6930433625398547E-15</v>
      </c>
      <c r="L5" s="24">
        <v>5</v>
      </c>
      <c r="M5" s="18">
        <v>2</v>
      </c>
      <c r="N5">
        <v>2</v>
      </c>
      <c r="O5">
        <v>1</v>
      </c>
      <c r="AF5">
        <v>2</v>
      </c>
      <c r="AG5" s="26">
        <f t="shared" si="2"/>
        <v>2.4</v>
      </c>
      <c r="AH5" s="26">
        <f t="shared" si="3"/>
        <v>7.407180522204615</v>
      </c>
      <c r="AI5" s="26">
        <f t="shared" si="4"/>
        <v>2.2602263692321993</v>
      </c>
      <c r="AJ5" s="26">
        <f t="shared" si="5"/>
        <v>10.082449812385972</v>
      </c>
      <c r="AK5" s="28">
        <f t="shared" si="6"/>
        <v>5.1152591910528248E-10</v>
      </c>
      <c r="AL5">
        <f t="shared" si="7"/>
        <v>1.7986152006026293E-16</v>
      </c>
      <c r="AM5" s="15">
        <f t="shared" si="8"/>
        <v>0</v>
      </c>
      <c r="AN5">
        <f t="shared" si="9"/>
        <v>2.6</v>
      </c>
      <c r="AO5" s="28">
        <f t="shared" si="10"/>
        <v>6.0037406346353664E-41</v>
      </c>
      <c r="AP5" s="28">
        <f t="shared" si="11"/>
        <v>6.0037406346353667E-29</v>
      </c>
      <c r="AQ5" s="28">
        <f t="shared" si="12"/>
        <v>1.3354286710528954E+16</v>
      </c>
      <c r="AR5" s="26">
        <f t="shared" si="13"/>
        <v>284.9415749083077</v>
      </c>
      <c r="AS5" s="26">
        <f t="shared" si="14"/>
        <v>22.449155428393929</v>
      </c>
      <c r="AT5" s="26">
        <f t="shared" si="15"/>
        <v>4437.094393721678</v>
      </c>
      <c r="AU5" s="26">
        <f t="shared" si="16"/>
        <v>2.4739416559742402</v>
      </c>
      <c r="AV5" s="28">
        <f t="shared" si="17"/>
        <v>0.53958929871887518</v>
      </c>
      <c r="AW5" s="30">
        <f t="shared" si="18"/>
        <v>564871411995.11389</v>
      </c>
      <c r="AY5">
        <v>298.14999999999998</v>
      </c>
      <c r="AZ5" s="26">
        <f t="shared" si="19"/>
        <v>5.0412239499999997E-3</v>
      </c>
    </row>
    <row r="6" spans="1:52" x14ac:dyDescent="0.3">
      <c r="A6">
        <v>6</v>
      </c>
      <c r="B6" t="s">
        <v>117</v>
      </c>
      <c r="C6" t="s">
        <v>61</v>
      </c>
      <c r="D6" t="s">
        <v>233</v>
      </c>
      <c r="E6" s="23">
        <v>12</v>
      </c>
      <c r="F6">
        <f t="shared" si="20"/>
        <v>6</v>
      </c>
      <c r="G6" s="26">
        <f t="shared" si="0"/>
        <v>12.09893748</v>
      </c>
      <c r="H6" s="26">
        <f>(G6-(A6*'Atomic Particles'!C1))/'Atomic Particles'!C2+A6</f>
        <v>12.003250515456909</v>
      </c>
      <c r="I6" s="26">
        <f t="shared" si="1"/>
        <v>0.65129502836184616</v>
      </c>
      <c r="J6" s="26">
        <f>(('Atomic Particles'!C1)*A6)+(('Atomic Particles'!C2)*Elements!F6)</f>
        <v>12.095658795838727</v>
      </c>
      <c r="K6" s="30">
        <f>(E6^(1/3))*Constants!B2</f>
        <v>2.8617856063833298E-15</v>
      </c>
      <c r="L6" s="24">
        <v>6</v>
      </c>
      <c r="M6" s="18">
        <v>2</v>
      </c>
      <c r="N6">
        <v>2</v>
      </c>
      <c r="O6">
        <v>2</v>
      </c>
      <c r="AF6">
        <v>2</v>
      </c>
      <c r="AG6" s="26">
        <f t="shared" si="2"/>
        <v>2.75</v>
      </c>
      <c r="AH6" s="26">
        <f t="shared" si="3"/>
        <v>17.36057934891706</v>
      </c>
      <c r="AI6" s="26">
        <f t="shared" si="4"/>
        <v>1.1572359010468865</v>
      </c>
      <c r="AJ6" s="26">
        <f t="shared" si="5"/>
        <v>12.098939774863169</v>
      </c>
      <c r="AK6" s="28">
        <f t="shared" si="6"/>
        <v>4.0922073528422601E-10</v>
      </c>
      <c r="AL6">
        <f t="shared" si="7"/>
        <v>1.1511137283856831E-16</v>
      </c>
      <c r="AM6" s="15">
        <f t="shared" si="8"/>
        <v>0</v>
      </c>
      <c r="AN6">
        <f t="shared" si="9"/>
        <v>3.25</v>
      </c>
      <c r="AO6" s="28">
        <f t="shared" si="10"/>
        <v>3.0739152049333089E-41</v>
      </c>
      <c r="AP6" s="28">
        <f t="shared" si="11"/>
        <v>3.0739152049333088E-29</v>
      </c>
      <c r="AQ6" s="28">
        <f t="shared" si="12"/>
        <v>2.0444492699766484E+16</v>
      </c>
      <c r="AR6" s="26">
        <f t="shared" si="13"/>
        <v>227.95325992664615</v>
      </c>
      <c r="AS6" s="26">
        <f t="shared" si="14"/>
        <v>14.663726921598998</v>
      </c>
      <c r="AT6" s="26">
        <f t="shared" si="15"/>
        <v>6932.9599901901202</v>
      </c>
      <c r="AU6" s="26">
        <f t="shared" si="16"/>
        <v>2.0616180466452003</v>
      </c>
      <c r="AV6" s="28">
        <f t="shared" si="17"/>
        <v>0.27626972094406421</v>
      </c>
      <c r="AW6" s="30">
        <f t="shared" si="18"/>
        <v>1103264476552.9563</v>
      </c>
      <c r="AY6">
        <v>298.14999999999998</v>
      </c>
      <c r="AZ6" s="26">
        <f t="shared" si="19"/>
        <v>6.0494687400000002E-3</v>
      </c>
    </row>
    <row r="7" spans="1:52" x14ac:dyDescent="0.3">
      <c r="A7">
        <v>7</v>
      </c>
      <c r="B7" t="s">
        <v>118</v>
      </c>
      <c r="C7" t="s">
        <v>62</v>
      </c>
      <c r="D7" t="s">
        <v>233</v>
      </c>
      <c r="E7" s="23">
        <v>14</v>
      </c>
      <c r="F7">
        <f t="shared" si="20"/>
        <v>7</v>
      </c>
      <c r="G7" s="26">
        <f t="shared" si="0"/>
        <v>14.11542706</v>
      </c>
      <c r="H7" s="26">
        <f>(G7-(A7*'Atomic Particles'!C1))/'Atomic Particles'!C2+A7</f>
        <v>14.00379226803306</v>
      </c>
      <c r="I7" s="26">
        <f t="shared" si="1"/>
        <v>0.5427458569682051</v>
      </c>
      <c r="J7" s="26">
        <f>(('Atomic Particles'!C1)*A7)+(('Atomic Particles'!C2)*Elements!F7)</f>
        <v>14.111601928478514</v>
      </c>
      <c r="K7" s="30">
        <f>(E7^(1/3))*Constants!B2</f>
        <v>3.012677830219037E-15</v>
      </c>
      <c r="L7" s="24">
        <v>7</v>
      </c>
      <c r="M7" s="18">
        <v>2</v>
      </c>
      <c r="N7">
        <v>2</v>
      </c>
      <c r="O7">
        <v>3</v>
      </c>
      <c r="AF7">
        <v>2</v>
      </c>
      <c r="AG7" s="26">
        <f t="shared" si="2"/>
        <v>3.0999999999999996</v>
      </c>
      <c r="AH7" s="26">
        <f t="shared" si="3"/>
        <v>34.998927967416812</v>
      </c>
      <c r="AI7" s="26">
        <f t="shared" si="4"/>
        <v>0.66969670199472564</v>
      </c>
      <c r="AJ7" s="26">
        <f t="shared" si="5"/>
        <v>14.115429737340364</v>
      </c>
      <c r="AK7" s="28">
        <f t="shared" si="6"/>
        <v>3.4101727940352162E-10</v>
      </c>
      <c r="AL7">
        <f t="shared" si="7"/>
        <v>7.9938453360116855E-17</v>
      </c>
      <c r="AM7" s="15">
        <f t="shared" si="8"/>
        <v>0</v>
      </c>
      <c r="AN7">
        <f t="shared" si="9"/>
        <v>3.9000000000000004</v>
      </c>
      <c r="AO7" s="28">
        <f t="shared" si="10"/>
        <v>1.7788861139660343E-41</v>
      </c>
      <c r="AP7" s="28">
        <f t="shared" si="11"/>
        <v>1.7788861139660343E-29</v>
      </c>
      <c r="AQ7" s="28">
        <f t="shared" si="12"/>
        <v>2.9028299984835884E+16</v>
      </c>
      <c r="AR7" s="26">
        <f t="shared" si="13"/>
        <v>189.96104993887178</v>
      </c>
      <c r="AS7" s="26">
        <f t="shared" si="14"/>
        <v>10.327592664972073</v>
      </c>
      <c r="AT7" s="26">
        <f t="shared" si="15"/>
        <v>9983.4623858737741</v>
      </c>
      <c r="AU7" s="26">
        <f t="shared" si="16"/>
        <v>1.7671011828387431</v>
      </c>
      <c r="AV7" s="28">
        <f t="shared" si="17"/>
        <v>0.15987831073151856</v>
      </c>
      <c r="AW7" s="30">
        <f t="shared" si="18"/>
        <v>1906441015483.5098</v>
      </c>
      <c r="AY7">
        <v>298.14999999999998</v>
      </c>
      <c r="AZ7" s="26">
        <f t="shared" si="19"/>
        <v>7.0577135299999998E-3</v>
      </c>
    </row>
    <row r="8" spans="1:52" x14ac:dyDescent="0.3">
      <c r="A8">
        <v>8</v>
      </c>
      <c r="B8" t="s">
        <v>119</v>
      </c>
      <c r="C8" t="s">
        <v>69</v>
      </c>
      <c r="D8" t="s">
        <v>233</v>
      </c>
      <c r="E8" s="23">
        <v>16</v>
      </c>
      <c r="F8">
        <f t="shared" si="20"/>
        <v>8</v>
      </c>
      <c r="G8" s="26">
        <f t="shared" si="0"/>
        <v>16.131916639999996</v>
      </c>
      <c r="H8" s="26">
        <f>(G8-(A8*'Atomic Particles'!C1))/'Atomic Particles'!C2+A8</f>
        <v>16.004334020609207</v>
      </c>
      <c r="I8" s="26">
        <f t="shared" si="1"/>
        <v>0.46521073454417583</v>
      </c>
      <c r="J8" s="26">
        <f>(('Atomic Particles'!C1)*A8)+(('Atomic Particles'!C2)*Elements!F8)</f>
        <v>16.127545061118301</v>
      </c>
      <c r="K8" s="30">
        <f>(E8^(1/3))*Constants!B2</f>
        <v>3.1498026247371823E-15</v>
      </c>
      <c r="L8" s="24">
        <v>8</v>
      </c>
      <c r="M8" s="18">
        <v>2</v>
      </c>
      <c r="N8">
        <v>2</v>
      </c>
      <c r="O8">
        <v>4</v>
      </c>
      <c r="AF8">
        <v>2</v>
      </c>
      <c r="AG8" s="26">
        <f t="shared" si="2"/>
        <v>3.45</v>
      </c>
      <c r="AH8" s="26">
        <f t="shared" si="3"/>
        <v>63.516572977904545</v>
      </c>
      <c r="AI8" s="26">
        <f t="shared" si="4"/>
        <v>0.42173320008997311</v>
      </c>
      <c r="AJ8" s="26">
        <f t="shared" si="5"/>
        <v>16.131919699817558</v>
      </c>
      <c r="AK8" s="28">
        <f t="shared" si="6"/>
        <v>2.9230052520301858E-10</v>
      </c>
      <c r="AL8">
        <f t="shared" si="7"/>
        <v>5.8730292264575671E-17</v>
      </c>
      <c r="AM8" s="15">
        <f t="shared" si="8"/>
        <v>0</v>
      </c>
      <c r="AN8">
        <f t="shared" si="9"/>
        <v>4.55</v>
      </c>
      <c r="AO8" s="28">
        <f t="shared" si="10"/>
        <v>1.1202314886783195E-41</v>
      </c>
      <c r="AP8" s="28">
        <f t="shared" si="11"/>
        <v>1.1202314886783194E-29</v>
      </c>
      <c r="AQ8" s="28">
        <f t="shared" si="12"/>
        <v>3.9105492557511816E+16</v>
      </c>
      <c r="AR8" s="26">
        <f t="shared" si="13"/>
        <v>162.82375709046153</v>
      </c>
      <c r="AS8" s="26">
        <f t="shared" si="14"/>
        <v>7.6662493781174108</v>
      </c>
      <c r="AT8" s="26">
        <f t="shared" si="15"/>
        <v>13588.601580772634</v>
      </c>
      <c r="AU8" s="26">
        <f t="shared" si="16"/>
        <v>1.5462135349839006</v>
      </c>
      <c r="AV8" s="28">
        <f t="shared" si="17"/>
        <v>0.10068138518369686</v>
      </c>
      <c r="AW8" s="30">
        <f t="shared" si="18"/>
        <v>3027357723661.3125</v>
      </c>
      <c r="AY8">
        <v>298.14999999999998</v>
      </c>
      <c r="AZ8" s="26">
        <f t="shared" si="19"/>
        <v>8.0659583199999968E-3</v>
      </c>
    </row>
    <row r="9" spans="1:52" x14ac:dyDescent="0.3">
      <c r="A9">
        <v>9</v>
      </c>
      <c r="B9" t="s">
        <v>120</v>
      </c>
      <c r="C9" t="s">
        <v>226</v>
      </c>
      <c r="D9" t="s">
        <v>238</v>
      </c>
      <c r="E9" s="23">
        <v>19</v>
      </c>
      <c r="F9">
        <f t="shared" si="20"/>
        <v>10</v>
      </c>
      <c r="G9" s="26">
        <f t="shared" si="0"/>
        <v>19.157071219999999</v>
      </c>
      <c r="H9" s="26">
        <f>(G9-(A9*'Atomic Particles'!C1))/'Atomic Particles'!C2+A9</f>
        <v>19.004874861865037</v>
      </c>
      <c r="I9" s="26">
        <f t="shared" si="1"/>
        <v>0.40705939272615382</v>
      </c>
      <c r="J9" s="26">
        <f>(('Atomic Particles'!C1)*A9)+(('Atomic Particles'!C2)*Elements!F9)</f>
        <v>19.152154112975843</v>
      </c>
      <c r="K9" s="30">
        <f>(E9^(1/3))*Constants!B2</f>
        <v>3.3355020609024303E-15</v>
      </c>
      <c r="L9" s="24">
        <v>9</v>
      </c>
      <c r="M9" s="18">
        <v>2</v>
      </c>
      <c r="N9">
        <v>2</v>
      </c>
      <c r="O9">
        <v>5</v>
      </c>
      <c r="AF9">
        <v>2</v>
      </c>
      <c r="AG9" s="26">
        <f t="shared" si="2"/>
        <v>3.8</v>
      </c>
      <c r="AH9" s="26">
        <f t="shared" si="3"/>
        <v>112.59161363245573</v>
      </c>
      <c r="AI9" s="26">
        <f t="shared" si="4"/>
        <v>0.28252829615402492</v>
      </c>
      <c r="AJ9" s="26">
        <f t="shared" si="5"/>
        <v>19.157074578242476</v>
      </c>
      <c r="AK9" s="28">
        <f t="shared" si="6"/>
        <v>2.5576295955264124E-10</v>
      </c>
      <c r="AL9">
        <f t="shared" si="7"/>
        <v>4.4965380015065733E-17</v>
      </c>
      <c r="AM9" s="15">
        <f t="shared" si="8"/>
        <v>0</v>
      </c>
      <c r="AN9">
        <f t="shared" si="9"/>
        <v>5.2</v>
      </c>
      <c r="AO9" s="28">
        <f t="shared" si="10"/>
        <v>7.504675793294208E-42</v>
      </c>
      <c r="AP9" s="28">
        <f t="shared" si="11"/>
        <v>7.5046757932942084E-30</v>
      </c>
      <c r="AQ9" s="28">
        <f t="shared" si="12"/>
        <v>5.0675955038627016E+16</v>
      </c>
      <c r="AR9" s="26">
        <f t="shared" si="13"/>
        <v>142.47078745415385</v>
      </c>
      <c r="AS9" s="26">
        <f t="shared" si="14"/>
        <v>5.9158718917381528</v>
      </c>
      <c r="AT9" s="26">
        <f t="shared" si="15"/>
        <v>17748.377574886712</v>
      </c>
      <c r="AU9" s="26">
        <f t="shared" si="16"/>
        <v>1.302045994794814</v>
      </c>
      <c r="AV9" s="28">
        <f t="shared" si="17"/>
        <v>6.7448662339859397E-2</v>
      </c>
      <c r="AW9" s="30">
        <f t="shared" si="18"/>
        <v>4518971295960.9111</v>
      </c>
      <c r="AY9">
        <v>298.14999999999998</v>
      </c>
      <c r="AZ9" s="26">
        <f t="shared" si="19"/>
        <v>9.5785356099999993E-3</v>
      </c>
    </row>
    <row r="10" spans="1:52" x14ac:dyDescent="0.3">
      <c r="A10">
        <v>10</v>
      </c>
      <c r="B10" t="s">
        <v>121</v>
      </c>
      <c r="C10" t="s">
        <v>80</v>
      </c>
      <c r="D10" t="s">
        <v>234</v>
      </c>
      <c r="E10" s="23">
        <v>20</v>
      </c>
      <c r="F10">
        <f t="shared" si="20"/>
        <v>10</v>
      </c>
      <c r="G10" s="26">
        <f t="shared" si="0"/>
        <v>20.1648958</v>
      </c>
      <c r="H10" s="26">
        <f>(G10-(A10*'Atomic Particles'!C1))/'Atomic Particles'!C2+A10</f>
        <v>20.005417525761516</v>
      </c>
      <c r="I10" s="26">
        <f t="shared" si="1"/>
        <v>0.3618305713121367</v>
      </c>
      <c r="J10" s="26">
        <f>(('Atomic Particles'!C1)*A10)+(('Atomic Particles'!C2)*Elements!F10)</f>
        <v>20.159431326397879</v>
      </c>
      <c r="K10" s="30">
        <f>(E10^(1/3))*Constants!B2</f>
        <v>3.3930220207436328E-15</v>
      </c>
      <c r="L10" s="24">
        <v>10</v>
      </c>
      <c r="M10" s="18">
        <v>2</v>
      </c>
      <c r="N10">
        <v>2</v>
      </c>
      <c r="O10">
        <v>6</v>
      </c>
      <c r="AF10">
        <v>2</v>
      </c>
      <c r="AG10" s="26">
        <f t="shared" si="2"/>
        <v>4.1499999999999995</v>
      </c>
      <c r="AH10" s="26">
        <f t="shared" si="3"/>
        <v>168.74483127147394</v>
      </c>
      <c r="AI10" s="26">
        <f t="shared" si="4"/>
        <v>0.19842865244288166</v>
      </c>
      <c r="AJ10" s="26">
        <f t="shared" si="5"/>
        <v>20.164899624771945</v>
      </c>
      <c r="AK10" s="28">
        <f t="shared" si="6"/>
        <v>2.2734485293568104E-10</v>
      </c>
      <c r="AL10">
        <f t="shared" si="7"/>
        <v>3.5528201493385263E-17</v>
      </c>
      <c r="AM10" s="15">
        <f t="shared" si="8"/>
        <v>0</v>
      </c>
      <c r="AN10">
        <f t="shared" si="9"/>
        <v>5.8500000000000005</v>
      </c>
      <c r="AO10" s="28">
        <f t="shared" si="10"/>
        <v>5.2707736710104701E-42</v>
      </c>
      <c r="AP10" s="28">
        <f t="shared" si="11"/>
        <v>5.2707736710104704E-30</v>
      </c>
      <c r="AQ10" s="28">
        <f t="shared" si="12"/>
        <v>6.3739620163739808E+16</v>
      </c>
      <c r="AR10" s="26">
        <f t="shared" si="13"/>
        <v>126.64069995924784</v>
      </c>
      <c r="AS10" s="26">
        <f t="shared" si="14"/>
        <v>4.7033926030601911</v>
      </c>
      <c r="AT10" s="26">
        <f t="shared" si="15"/>
        <v>22462.790368215996</v>
      </c>
      <c r="AU10" s="26">
        <f t="shared" si="16"/>
        <v>1.2369708279871201</v>
      </c>
      <c r="AV10" s="28">
        <f t="shared" si="17"/>
        <v>4.7371351327857331E-2</v>
      </c>
      <c r="AW10" s="30">
        <f t="shared" si="18"/>
        <v>6434238427256.8467</v>
      </c>
      <c r="AY10">
        <v>298.14999999999998</v>
      </c>
      <c r="AZ10" s="26">
        <f t="shared" si="19"/>
        <v>1.0082447899999999E-2</v>
      </c>
    </row>
    <row r="11" spans="1:52" x14ac:dyDescent="0.3">
      <c r="A11">
        <v>11</v>
      </c>
      <c r="B11" t="s">
        <v>122</v>
      </c>
      <c r="C11" t="s">
        <v>2</v>
      </c>
      <c r="D11" t="s">
        <v>235</v>
      </c>
      <c r="E11" s="23">
        <v>23</v>
      </c>
      <c r="F11">
        <f t="shared" si="20"/>
        <v>12</v>
      </c>
      <c r="G11" s="26">
        <f t="shared" si="0"/>
        <v>23.190050379999999</v>
      </c>
      <c r="H11" s="26">
        <f>(G11-(A11*'Atomic Particles'!C1))/'Atomic Particles'!C2+A11</f>
        <v>23.005958367017342</v>
      </c>
      <c r="I11" s="26">
        <f t="shared" si="1"/>
        <v>0.9621403828072731</v>
      </c>
      <c r="J11" s="26">
        <f>(('Atomic Particles'!C1)*A11)+(('Atomic Particles'!C2)*Elements!F11)</f>
        <v>23.184040378255418</v>
      </c>
      <c r="K11" s="30">
        <f>(E11^(1/3))*Constants!B2</f>
        <v>3.5548337248144571E-15</v>
      </c>
      <c r="L11" s="24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 s="26">
        <f t="shared" si="2"/>
        <v>8.8000000000000007</v>
      </c>
      <c r="AH11" s="26">
        <f t="shared" si="3"/>
        <v>10.32135303965477</v>
      </c>
      <c r="AI11" s="26">
        <f t="shared" si="4"/>
        <v>3.7308169295290372</v>
      </c>
      <c r="AJ11" s="26">
        <f t="shared" si="5"/>
        <v>23.190054503196865</v>
      </c>
      <c r="AK11" s="28">
        <f t="shared" si="6"/>
        <v>6.0453063166987954E-10</v>
      </c>
      <c r="AL11">
        <f t="shared" si="7"/>
        <v>2.5121154454697904E-16</v>
      </c>
      <c r="AM11" s="15">
        <f t="shared" si="8"/>
        <v>0</v>
      </c>
      <c r="AN11">
        <f t="shared" si="9"/>
        <v>2.1999999999999993</v>
      </c>
      <c r="AO11" s="28">
        <f t="shared" si="10"/>
        <v>9.910006141468007E-41</v>
      </c>
      <c r="AP11" s="28">
        <f t="shared" si="11"/>
        <v>9.9100061414680073E-29</v>
      </c>
      <c r="AQ11" s="28">
        <f t="shared" si="12"/>
        <v>1.5417218795385138E+16</v>
      </c>
      <c r="AR11" s="26">
        <f t="shared" si="13"/>
        <v>336.74913398254557</v>
      </c>
      <c r="AS11" s="26">
        <f t="shared" si="14"/>
        <v>19.445300866440149</v>
      </c>
      <c r="AT11" s="26">
        <f t="shared" si="15"/>
        <v>3176.8545659190686</v>
      </c>
      <c r="AU11" s="26">
        <f t="shared" si="16"/>
        <v>1.0756073162959641</v>
      </c>
      <c r="AV11" s="28">
        <f t="shared" si="17"/>
        <v>0.89066693409870046</v>
      </c>
      <c r="AW11" s="30">
        <f t="shared" si="18"/>
        <v>342213859520.02533</v>
      </c>
      <c r="AY11">
        <v>298.14999999999998</v>
      </c>
      <c r="AZ11" s="26">
        <f t="shared" si="19"/>
        <v>1.159502519E-2</v>
      </c>
    </row>
    <row r="12" spans="1:52" x14ac:dyDescent="0.3">
      <c r="A12">
        <v>12</v>
      </c>
      <c r="B12" t="s">
        <v>123</v>
      </c>
      <c r="C12" t="s">
        <v>8</v>
      </c>
      <c r="D12" t="s">
        <v>236</v>
      </c>
      <c r="E12" s="23">
        <v>24</v>
      </c>
      <c r="F12">
        <f t="shared" si="20"/>
        <v>12</v>
      </c>
      <c r="G12" s="26">
        <f t="shared" si="0"/>
        <v>24.19787496</v>
      </c>
      <c r="H12" s="26">
        <f>(G12-(A12*'Atomic Particles'!C1))/'Atomic Particles'!C2+A12</f>
        <v>24.006501030913817</v>
      </c>
      <c r="I12" s="26">
        <f t="shared" si="1"/>
        <v>0.74270485690385923</v>
      </c>
      <c r="J12" s="26">
        <f>(('Atomic Particles'!C1)*A12)+(('Atomic Particles'!C2)*Elements!F12)</f>
        <v>24.191317591677453</v>
      </c>
      <c r="K12" s="30">
        <f>(E12^(1/3))*Constants!B2</f>
        <v>3.6056239257685206E-15</v>
      </c>
      <c r="L12" s="24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 s="26">
        <f t="shared" si="2"/>
        <v>9.1499999999999986</v>
      </c>
      <c r="AH12" s="26">
        <f t="shared" si="3"/>
        <v>23.414166746392375</v>
      </c>
      <c r="AI12" s="26">
        <f t="shared" si="4"/>
        <v>1.7160794918004496</v>
      </c>
      <c r="AJ12" s="26">
        <f t="shared" si="5"/>
        <v>24.197879549726338</v>
      </c>
      <c r="AK12" s="28">
        <f t="shared" si="6"/>
        <v>4.6665522444692403E-10</v>
      </c>
      <c r="AL12">
        <f t="shared" si="7"/>
        <v>1.4969084341118823E-16</v>
      </c>
      <c r="AM12" s="15">
        <f t="shared" si="8"/>
        <v>0</v>
      </c>
      <c r="AN12">
        <f t="shared" si="9"/>
        <v>2.8500000000000014</v>
      </c>
      <c r="AO12" s="28">
        <f t="shared" si="10"/>
        <v>4.5583470387909278E-41</v>
      </c>
      <c r="AP12" s="28">
        <f t="shared" si="11"/>
        <v>4.5583470387909276E-29</v>
      </c>
      <c r="AQ12" s="28">
        <f t="shared" si="12"/>
        <v>2.3742890250085336E+16</v>
      </c>
      <c r="AR12" s="26">
        <f t="shared" si="13"/>
        <v>259.94669991635072</v>
      </c>
      <c r="AS12" s="26">
        <f t="shared" si="14"/>
        <v>12.626620215242014</v>
      </c>
      <c r="AT12" s="26">
        <f t="shared" si="15"/>
        <v>5331.4052090243149</v>
      </c>
      <c r="AU12" s="26">
        <f t="shared" si="16"/>
        <v>1.0308090233226002</v>
      </c>
      <c r="AV12" s="28">
        <f t="shared" si="17"/>
        <v>0.40968380076063071</v>
      </c>
      <c r="AW12" s="30">
        <f t="shared" si="18"/>
        <v>743984918366.03394</v>
      </c>
      <c r="AY12">
        <v>298.14999999999998</v>
      </c>
      <c r="AZ12" s="26">
        <f t="shared" si="19"/>
        <v>1.209893748E-2</v>
      </c>
    </row>
    <row r="13" spans="1:52" x14ac:dyDescent="0.3">
      <c r="A13">
        <v>13</v>
      </c>
      <c r="B13" t="s">
        <v>124</v>
      </c>
      <c r="C13" t="s">
        <v>52</v>
      </c>
      <c r="D13" t="s">
        <v>239</v>
      </c>
      <c r="E13" s="23">
        <v>27</v>
      </c>
      <c r="F13">
        <f t="shared" si="20"/>
        <v>14</v>
      </c>
      <c r="G13" s="26">
        <f t="shared" si="0"/>
        <v>27.223029540000002</v>
      </c>
      <c r="H13" s="26">
        <f>(G13-(A13*'Atomic Particles'!C1))/'Atomic Particles'!C2+A13</f>
        <v>27.007041872169644</v>
      </c>
      <c r="I13" s="26">
        <f t="shared" si="1"/>
        <v>0.50397829575619058</v>
      </c>
      <c r="J13" s="26">
        <f>(('Atomic Particles'!C1)*A13)+(('Atomic Particles'!C2)*Elements!F13)</f>
        <v>27.215926643534992</v>
      </c>
      <c r="K13" s="30">
        <f>(E13^(1/3))*Constants!B2</f>
        <v>3.7499999999999998E-15</v>
      </c>
      <c r="L13" s="24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 s="26">
        <f t="shared" si="2"/>
        <v>8.8000000000000007</v>
      </c>
      <c r="AH13" s="26">
        <f t="shared" si="3"/>
        <v>84.304590707410568</v>
      </c>
      <c r="AI13" s="26">
        <f t="shared" si="4"/>
        <v>0.53619666701254132</v>
      </c>
      <c r="AJ13" s="26">
        <f t="shared" si="5"/>
        <v>27.223034428151259</v>
      </c>
      <c r="AK13" s="28">
        <f t="shared" si="6"/>
        <v>3.1665890230327018E-10</v>
      </c>
      <c r="AL13">
        <f t="shared" si="7"/>
        <v>6.8926523560508969E-17</v>
      </c>
      <c r="AM13" s="15">
        <f t="shared" si="8"/>
        <v>0</v>
      </c>
      <c r="AN13">
        <f t="shared" si="9"/>
        <v>4.1999999999999993</v>
      </c>
      <c r="AO13" s="28">
        <f t="shared" si="10"/>
        <v>1.4242757989735354E-41</v>
      </c>
      <c r="AP13" s="28">
        <f t="shared" si="11"/>
        <v>1.4242757989735354E-29</v>
      </c>
      <c r="AQ13" s="28">
        <f t="shared" si="12"/>
        <v>4.421007826435804E+16</v>
      </c>
      <c r="AR13" s="26">
        <f t="shared" si="13"/>
        <v>176.39240351466671</v>
      </c>
      <c r="AS13" s="26">
        <f t="shared" si="14"/>
        <v>6.7810886062531877</v>
      </c>
      <c r="AT13" s="26">
        <f t="shared" si="15"/>
        <v>11578.453417936442</v>
      </c>
      <c r="AU13" s="26">
        <f t="shared" si="16"/>
        <v>0.91626054393944567</v>
      </c>
      <c r="AV13" s="28">
        <f t="shared" si="17"/>
        <v>0.12800752502811466</v>
      </c>
      <c r="AW13" s="30">
        <f t="shared" si="18"/>
        <v>2381098837727.2397</v>
      </c>
      <c r="AY13">
        <v>298.14999999999998</v>
      </c>
      <c r="AZ13" s="26">
        <f t="shared" si="19"/>
        <v>1.3611514770000001E-2</v>
      </c>
    </row>
    <row r="14" spans="1:52" x14ac:dyDescent="0.3">
      <c r="A14">
        <v>14</v>
      </c>
      <c r="B14" t="s">
        <v>125</v>
      </c>
      <c r="C14" t="s">
        <v>60</v>
      </c>
      <c r="D14" t="s">
        <v>237</v>
      </c>
      <c r="E14" s="23">
        <v>28</v>
      </c>
      <c r="F14">
        <f t="shared" si="20"/>
        <v>14</v>
      </c>
      <c r="G14" s="26">
        <f t="shared" si="0"/>
        <v>28.23085412</v>
      </c>
      <c r="H14" s="26">
        <f>(G14-(A14*'Atomic Particles'!C1))/'Atomic Particles'!C2+A14</f>
        <v>28.007584536066119</v>
      </c>
      <c r="I14" s="26">
        <f t="shared" si="1"/>
        <v>0.51005032341590362</v>
      </c>
      <c r="J14" s="26">
        <f>(('Atomic Particles'!C1)*A14)+(('Atomic Particles'!C2)*Elements!F14)</f>
        <v>28.223203856957028</v>
      </c>
      <c r="K14" s="30">
        <f>(E14^(1/3))*Constants!B2</f>
        <v>3.7957362148445774E-15</v>
      </c>
      <c r="L14" s="24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 s="26">
        <f t="shared" si="2"/>
        <v>9.85</v>
      </c>
      <c r="AH14" s="26">
        <f t="shared" si="3"/>
        <v>84.340312655748363</v>
      </c>
      <c r="AI14" s="26">
        <f t="shared" si="4"/>
        <v>0.55581170842464267</v>
      </c>
      <c r="AJ14" s="26">
        <f t="shared" si="5"/>
        <v>28.230859474680727</v>
      </c>
      <c r="AK14" s="28">
        <f t="shared" si="6"/>
        <v>3.2047406980089987E-10</v>
      </c>
      <c r="AL14">
        <f t="shared" si="7"/>
        <v>7.059740894802598E-17</v>
      </c>
      <c r="AM14" s="15">
        <f t="shared" si="8"/>
        <v>0</v>
      </c>
      <c r="AN14">
        <f t="shared" si="9"/>
        <v>4.1500000000000004</v>
      </c>
      <c r="AO14" s="28">
        <f t="shared" si="10"/>
        <v>1.4763783771838281E-41</v>
      </c>
      <c r="AP14" s="28">
        <f t="shared" si="11"/>
        <v>1.4763783771838281E-29</v>
      </c>
      <c r="AQ14" s="28">
        <f t="shared" si="12"/>
        <v>4.5062142321634496E+16</v>
      </c>
      <c r="AR14" s="26">
        <f t="shared" si="13"/>
        <v>178.51761319556627</v>
      </c>
      <c r="AS14" s="26">
        <f t="shared" si="14"/>
        <v>6.6528674083049211</v>
      </c>
      <c r="AT14" s="26">
        <f t="shared" si="15"/>
        <v>11304.416892880414</v>
      </c>
      <c r="AU14" s="26">
        <f t="shared" si="16"/>
        <v>0.88355059141937153</v>
      </c>
      <c r="AV14" s="28">
        <f t="shared" si="17"/>
        <v>0.13269027122733396</v>
      </c>
      <c r="AW14" s="30">
        <f t="shared" si="18"/>
        <v>2297067948128.4863</v>
      </c>
      <c r="AY14">
        <v>298.14999999999998</v>
      </c>
      <c r="AZ14" s="26">
        <f t="shared" si="19"/>
        <v>1.411542706E-2</v>
      </c>
    </row>
    <row r="15" spans="1:52" x14ac:dyDescent="0.3">
      <c r="A15">
        <v>15</v>
      </c>
      <c r="B15" t="s">
        <v>126</v>
      </c>
      <c r="C15" t="s">
        <v>63</v>
      </c>
      <c r="D15" t="s">
        <v>233</v>
      </c>
      <c r="E15" s="23">
        <v>31</v>
      </c>
      <c r="F15">
        <f t="shared" si="20"/>
        <v>16</v>
      </c>
      <c r="G15" s="26">
        <f t="shared" si="0"/>
        <v>31.256008699999999</v>
      </c>
      <c r="H15" s="26">
        <f>(G15-(A15*'Atomic Particles'!C1))/'Atomic Particles'!C2+A15</f>
        <v>31.008125377321946</v>
      </c>
      <c r="I15" s="26">
        <f t="shared" si="1"/>
        <v>0.44098100878666663</v>
      </c>
      <c r="J15" s="26">
        <f>(('Atomic Particles'!C1)*A15)+(('Atomic Particles'!C2)*Elements!F15)</f>
        <v>31.247812908814566</v>
      </c>
      <c r="K15" s="30">
        <f>(E15^(1/3))*Constants!B2</f>
        <v>3.9267258154892411E-15</v>
      </c>
      <c r="L15" s="24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 s="26">
        <f t="shared" si="2"/>
        <v>10.199999999999999</v>
      </c>
      <c r="AH15" s="26">
        <f t="shared" si="3"/>
        <v>144.48545498572213</v>
      </c>
      <c r="AI15" s="26">
        <f t="shared" si="4"/>
        <v>0.35920987653379205</v>
      </c>
      <c r="AJ15" s="26">
        <f t="shared" si="5"/>
        <v>31.256014353105648</v>
      </c>
      <c r="AK15" s="28">
        <f t="shared" si="6"/>
        <v>2.7707653951536132E-10</v>
      </c>
      <c r="AL15">
        <f t="shared" si="7"/>
        <v>5.2771869601014641E-17</v>
      </c>
      <c r="AM15" s="15">
        <f t="shared" si="8"/>
        <v>0</v>
      </c>
      <c r="AN15">
        <f t="shared" si="9"/>
        <v>4.8000000000000007</v>
      </c>
      <c r="AO15" s="28">
        <f t="shared" si="10"/>
        <v>9.5415351376547297E-42</v>
      </c>
      <c r="AP15" s="28">
        <f t="shared" si="11"/>
        <v>9.5415351376547295E-30</v>
      </c>
      <c r="AQ15" s="28">
        <f t="shared" si="12"/>
        <v>5.802072584557628E+16</v>
      </c>
      <c r="AR15" s="26">
        <f t="shared" si="13"/>
        <v>154.34335307533331</v>
      </c>
      <c r="AS15" s="26">
        <f t="shared" si="14"/>
        <v>5.1669890996866474</v>
      </c>
      <c r="AT15" s="26">
        <f t="shared" si="15"/>
        <v>15122.877933631282</v>
      </c>
      <c r="AU15" s="26">
        <f t="shared" si="16"/>
        <v>0.79803496644150862</v>
      </c>
      <c r="AV15" s="28">
        <f t="shared" si="17"/>
        <v>8.5755041180943917E-2</v>
      </c>
      <c r="AW15" s="30">
        <f t="shared" si="18"/>
        <v>3554293308794.0176</v>
      </c>
      <c r="AY15">
        <v>298.14999999999998</v>
      </c>
      <c r="AZ15" s="26">
        <f t="shared" si="19"/>
        <v>1.5628004350000002E-2</v>
      </c>
    </row>
    <row r="16" spans="1:52" x14ac:dyDescent="0.3">
      <c r="A16">
        <v>16</v>
      </c>
      <c r="B16" t="s">
        <v>127</v>
      </c>
      <c r="C16" t="s">
        <v>227</v>
      </c>
      <c r="D16" t="s">
        <v>233</v>
      </c>
      <c r="E16" s="23">
        <v>32</v>
      </c>
      <c r="F16">
        <f t="shared" si="20"/>
        <v>16</v>
      </c>
      <c r="G16" s="26">
        <f t="shared" si="0"/>
        <v>32.263833279999993</v>
      </c>
      <c r="H16" s="26">
        <f>(G16-(A16*'Atomic Particles'!C1))/'Atomic Particles'!C2+A16</f>
        <v>32.008668041218414</v>
      </c>
      <c r="I16" s="26">
        <f t="shared" si="1"/>
        <v>0.38838694351853215</v>
      </c>
      <c r="J16" s="26">
        <f>(('Atomic Particles'!C1)*A16)+(('Atomic Particles'!C2)*Elements!F16)</f>
        <v>32.255090122236602</v>
      </c>
      <c r="K16" s="30">
        <f>(E16^(1/3))*Constants!B2</f>
        <v>3.9685026299204986E-15</v>
      </c>
      <c r="L16" s="24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 s="26">
        <f t="shared" si="2"/>
        <v>10.55</v>
      </c>
      <c r="AH16" s="26">
        <f t="shared" si="3"/>
        <v>218.30936696609263</v>
      </c>
      <c r="AI16" s="26">
        <f t="shared" si="4"/>
        <v>0.24540447304655053</v>
      </c>
      <c r="AJ16" s="26">
        <f t="shared" si="5"/>
        <v>32.263839399635117</v>
      </c>
      <c r="AK16" s="28">
        <f t="shared" si="6"/>
        <v>2.4403071370160268E-10</v>
      </c>
      <c r="AL16">
        <f t="shared" si="7"/>
        <v>4.093473194537086E-17</v>
      </c>
      <c r="AM16" s="15">
        <f t="shared" si="8"/>
        <v>0</v>
      </c>
      <c r="AN16">
        <f t="shared" si="9"/>
        <v>5.4499999999999993</v>
      </c>
      <c r="AO16" s="28">
        <f t="shared" si="10"/>
        <v>6.5185718864582184E-42</v>
      </c>
      <c r="AP16" s="28">
        <f t="shared" si="11"/>
        <v>6.5185718864582181E-30</v>
      </c>
      <c r="AQ16" s="28">
        <f t="shared" si="12"/>
        <v>7.2498732981506512E+16</v>
      </c>
      <c r="AR16" s="26">
        <f t="shared" si="13"/>
        <v>135.93543023148627</v>
      </c>
      <c r="AS16" s="26">
        <f t="shared" si="14"/>
        <v>4.1351406524093761</v>
      </c>
      <c r="AT16" s="26">
        <f t="shared" si="15"/>
        <v>19495.975773597351</v>
      </c>
      <c r="AU16" s="26">
        <f t="shared" si="16"/>
        <v>0.77310676749195029</v>
      </c>
      <c r="AV16" s="28">
        <f t="shared" si="17"/>
        <v>5.8586002409416034E-2</v>
      </c>
      <c r="AW16" s="30">
        <f t="shared" si="18"/>
        <v>5202583493148.4697</v>
      </c>
      <c r="AY16">
        <v>298.14999999999998</v>
      </c>
      <c r="AZ16" s="26">
        <f t="shared" si="19"/>
        <v>1.6131916639999994E-2</v>
      </c>
    </row>
    <row r="17" spans="1:52" x14ac:dyDescent="0.3">
      <c r="A17">
        <v>17</v>
      </c>
      <c r="B17" t="s">
        <v>128</v>
      </c>
      <c r="C17" t="s">
        <v>70</v>
      </c>
      <c r="D17" t="s">
        <v>238</v>
      </c>
      <c r="E17" s="23">
        <v>37</v>
      </c>
      <c r="F17">
        <f t="shared" si="20"/>
        <v>20</v>
      </c>
      <c r="G17" s="26">
        <f t="shared" si="0"/>
        <v>37.30631786</v>
      </c>
      <c r="H17" s="26">
        <f>(G17-(A17*'Atomic Particles'!C1))/'Atomic Particles'!C2+A17</f>
        <v>37.009207059833599</v>
      </c>
      <c r="I17" s="26">
        <f t="shared" si="1"/>
        <v>0.34700144953704909</v>
      </c>
      <c r="J17" s="26">
        <f>(('Atomic Particles'!C1)*A17)+(('Atomic Particles'!C2)*Elements!F17)</f>
        <v>37.297031012529651</v>
      </c>
      <c r="K17" s="30">
        <f>(E17^(1/3))*Constants!B2</f>
        <v>4.1652773145574406E-15</v>
      </c>
      <c r="L17" s="24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 s="26">
        <f t="shared" si="2"/>
        <v>10.899999999999999</v>
      </c>
      <c r="AH17" s="26">
        <f t="shared" si="3"/>
        <v>353.94745169518751</v>
      </c>
      <c r="AI17" s="26">
        <f t="shared" si="4"/>
        <v>0.17501790310918144</v>
      </c>
      <c r="AJ17" s="26">
        <f t="shared" si="5"/>
        <v>37.306324109955476</v>
      </c>
      <c r="AK17" s="28">
        <f t="shared" si="6"/>
        <v>2.1802744093012034E-10</v>
      </c>
      <c r="AL17">
        <f t="shared" si="7"/>
        <v>3.2675728987029751E-17</v>
      </c>
      <c r="AM17" s="15">
        <f t="shared" si="8"/>
        <v>0</v>
      </c>
      <c r="AN17">
        <f t="shared" si="9"/>
        <v>6.1000000000000014</v>
      </c>
      <c r="AO17" s="28">
        <f t="shared" si="10"/>
        <v>4.6489241563986037E-42</v>
      </c>
      <c r="AP17" s="28">
        <f t="shared" si="11"/>
        <v>4.6489241563986036E-30</v>
      </c>
      <c r="AQ17" s="28">
        <f t="shared" si="12"/>
        <v>8.8490140608588816E+16</v>
      </c>
      <c r="AR17" s="26">
        <f t="shared" si="13"/>
        <v>121.45050733796718</v>
      </c>
      <c r="AS17" s="26">
        <f t="shared" si="14"/>
        <v>3.3878628278606473</v>
      </c>
      <c r="AT17" s="26">
        <f t="shared" si="15"/>
        <v>24423.710412778652</v>
      </c>
      <c r="AU17" s="26">
        <f t="shared" si="16"/>
        <v>0.66861028600049566</v>
      </c>
      <c r="AV17" s="28">
        <f t="shared" si="17"/>
        <v>4.1782446611315242E-2</v>
      </c>
      <c r="AW17" s="30">
        <f t="shared" si="18"/>
        <v>7294895196066.3965</v>
      </c>
      <c r="AY17">
        <v>298.14999999999998</v>
      </c>
      <c r="AZ17" s="26">
        <f t="shared" si="19"/>
        <v>1.865315893E-2</v>
      </c>
    </row>
    <row r="18" spans="1:52" x14ac:dyDescent="0.3">
      <c r="A18">
        <v>18</v>
      </c>
      <c r="B18" t="s">
        <v>129</v>
      </c>
      <c r="C18" t="s">
        <v>79</v>
      </c>
      <c r="D18" t="s">
        <v>234</v>
      </c>
      <c r="E18" s="23">
        <v>38</v>
      </c>
      <c r="F18">
        <f t="shared" si="20"/>
        <v>20</v>
      </c>
      <c r="G18" s="26">
        <f t="shared" si="0"/>
        <v>38.314142439999998</v>
      </c>
      <c r="H18" s="26">
        <f>(G18-(A18*'Atomic Particles'!C1))/'Atomic Particles'!C2+A18</f>
        <v>38.009749723730074</v>
      </c>
      <c r="I18" s="26">
        <f t="shared" si="1"/>
        <v>0.31358649513718517</v>
      </c>
      <c r="J18" s="26">
        <f>(('Atomic Particles'!C1)*A18)+(('Atomic Particles'!C2)*Elements!F18)</f>
        <v>38.304308225951686</v>
      </c>
      <c r="K18" s="30">
        <f>(E18^(1/3))*Constants!B2</f>
        <v>4.202469258498703E-15</v>
      </c>
      <c r="L18" s="24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 s="26">
        <f t="shared" si="2"/>
        <v>11.25</v>
      </c>
      <c r="AH18" s="26">
        <f t="shared" si="3"/>
        <v>492.53526006868964</v>
      </c>
      <c r="AI18" s="26">
        <f t="shared" si="4"/>
        <v>0.12916970353096627</v>
      </c>
      <c r="AJ18" s="26">
        <f t="shared" si="5"/>
        <v>38.314149156484952</v>
      </c>
      <c r="AK18" s="28">
        <f t="shared" si="6"/>
        <v>1.9703220587759028E-10</v>
      </c>
      <c r="AL18">
        <f t="shared" si="7"/>
        <v>2.6685626899476056E-17</v>
      </c>
      <c r="AM18" s="15">
        <f t="shared" si="8"/>
        <v>0</v>
      </c>
      <c r="AN18">
        <f t="shared" si="9"/>
        <v>6.75</v>
      </c>
      <c r="AO18" s="28">
        <f t="shared" si="10"/>
        <v>3.4310784459881512E-42</v>
      </c>
      <c r="AP18" s="28">
        <f t="shared" si="11"/>
        <v>3.4310784459881511E-30</v>
      </c>
      <c r="AQ18" s="28">
        <f t="shared" si="12"/>
        <v>1.059906568955936E+17</v>
      </c>
      <c r="AR18" s="26">
        <f t="shared" si="13"/>
        <v>109.75527329801481</v>
      </c>
      <c r="AS18" s="26">
        <f t="shared" si="14"/>
        <v>2.8284800451355956</v>
      </c>
      <c r="AT18" s="26">
        <f t="shared" si="15"/>
        <v>29906.081851175135</v>
      </c>
      <c r="AU18" s="26">
        <f t="shared" si="16"/>
        <v>0.65102299739740699</v>
      </c>
      <c r="AV18" s="28">
        <f t="shared" si="17"/>
        <v>3.0836995219941519E-2</v>
      </c>
      <c r="AW18" s="30">
        <f t="shared" si="18"/>
        <v>9884185112422.3242</v>
      </c>
      <c r="AY18">
        <v>298.14999999999998</v>
      </c>
      <c r="AZ18" s="26">
        <f t="shared" si="19"/>
        <v>1.9157071219999999E-2</v>
      </c>
    </row>
    <row r="19" spans="1:52" x14ac:dyDescent="0.3">
      <c r="A19">
        <v>19</v>
      </c>
      <c r="B19" t="s">
        <v>130</v>
      </c>
      <c r="C19" t="s">
        <v>3</v>
      </c>
      <c r="D19" t="s">
        <v>235</v>
      </c>
      <c r="E19" s="23">
        <v>39</v>
      </c>
      <c r="F19">
        <f t="shared" si="20"/>
        <v>20</v>
      </c>
      <c r="G19" s="26">
        <f t="shared" si="0"/>
        <v>39.321967019999995</v>
      </c>
      <c r="H19" s="26">
        <f>(G19-(A19*'Atomic Particles'!C1))/'Atomic Particles'!C2+A19</f>
        <v>39.010292387626549</v>
      </c>
      <c r="I19" s="26">
        <f t="shared" si="1"/>
        <v>0.9621403828072731</v>
      </c>
      <c r="J19" s="26">
        <f>(('Atomic Particles'!C1)*A19)+(('Atomic Particles'!C2)*Elements!F19)</f>
        <v>39.311585439373715</v>
      </c>
      <c r="K19" s="30">
        <f>(E19^(1/3))*Constants!B2</f>
        <v>4.2390143037677072E-15</v>
      </c>
      <c r="L19" s="24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 s="26">
        <f t="shared" si="2"/>
        <v>16.8</v>
      </c>
      <c r="AH19" s="26">
        <f t="shared" si="3"/>
        <v>17.501294614569165</v>
      </c>
      <c r="AI19" s="26">
        <f t="shared" si="4"/>
        <v>3.7308169295290372</v>
      </c>
      <c r="AJ19" s="26">
        <f t="shared" si="5"/>
        <v>39.321974203014427</v>
      </c>
      <c r="AK19" s="28">
        <f t="shared" si="6"/>
        <v>6.0453063166987954E-10</v>
      </c>
      <c r="AL19">
        <f t="shared" si="7"/>
        <v>2.5121154454697904E-16</v>
      </c>
      <c r="AM19" s="15">
        <f t="shared" si="8"/>
        <v>0</v>
      </c>
      <c r="AN19">
        <f t="shared" si="9"/>
        <v>2.1999999999999993</v>
      </c>
      <c r="AO19" s="28">
        <f t="shared" si="10"/>
        <v>9.910006141468007E-41</v>
      </c>
      <c r="AP19" s="28">
        <f t="shared" si="11"/>
        <v>9.9100061414680073E-29</v>
      </c>
      <c r="AQ19" s="28">
        <f t="shared" si="12"/>
        <v>2.026219514337602E+16</v>
      </c>
      <c r="AR19" s="26">
        <f t="shared" si="13"/>
        <v>336.74913398254557</v>
      </c>
      <c r="AS19" s="26">
        <f t="shared" si="14"/>
        <v>14.795655449898582</v>
      </c>
      <c r="AT19" s="26">
        <f t="shared" si="15"/>
        <v>3176.8545659190686</v>
      </c>
      <c r="AU19" s="26">
        <f t="shared" si="16"/>
        <v>0.63433723550282362</v>
      </c>
      <c r="AV19" s="28">
        <f t="shared" si="17"/>
        <v>0.89066693409870046</v>
      </c>
      <c r="AW19" s="30">
        <f t="shared" si="18"/>
        <v>342213859520.02533</v>
      </c>
      <c r="AY19">
        <v>298.14999999999998</v>
      </c>
      <c r="AZ19" s="26">
        <f t="shared" si="19"/>
        <v>1.9660983509999997E-2</v>
      </c>
    </row>
    <row r="20" spans="1:52" x14ac:dyDescent="0.3">
      <c r="A20">
        <v>20</v>
      </c>
      <c r="B20" t="s">
        <v>131</v>
      </c>
      <c r="C20" t="s">
        <v>9</v>
      </c>
      <c r="D20" t="s">
        <v>236</v>
      </c>
      <c r="E20" s="23">
        <v>42</v>
      </c>
      <c r="F20">
        <f t="shared" si="20"/>
        <v>22</v>
      </c>
      <c r="G20" s="26">
        <f t="shared" si="0"/>
        <v>42.347121600000001</v>
      </c>
      <c r="H20" s="26">
        <f>(G20-(A20*'Atomic Particles'!C1))/'Atomic Particles'!C2+A20</f>
        <v>42.010833228882376</v>
      </c>
      <c r="I20" s="26">
        <f t="shared" si="1"/>
        <v>0.74270485690385923</v>
      </c>
      <c r="J20" s="26">
        <f>(('Atomic Particles'!C1)*A20)+(('Atomic Particles'!C2)*Elements!F20)</f>
        <v>42.336194491231254</v>
      </c>
      <c r="K20" s="30">
        <f>(E20^(1/3))*Constants!B2</f>
        <v>4.3450333061080621E-15</v>
      </c>
      <c r="L20" s="24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 s="26">
        <f t="shared" si="2"/>
        <v>17.149999999999999</v>
      </c>
      <c r="AH20" s="26">
        <f t="shared" si="3"/>
        <v>40.975605007099936</v>
      </c>
      <c r="AI20" s="26">
        <f t="shared" si="4"/>
        <v>1.7160794918004496</v>
      </c>
      <c r="AJ20" s="26">
        <f t="shared" si="5"/>
        <v>42.347129081439341</v>
      </c>
      <c r="AK20" s="28">
        <f t="shared" si="6"/>
        <v>4.6665522444692403E-10</v>
      </c>
      <c r="AL20">
        <f t="shared" si="7"/>
        <v>1.4969084341118823E-16</v>
      </c>
      <c r="AM20" s="15">
        <f t="shared" si="8"/>
        <v>0</v>
      </c>
      <c r="AN20">
        <f t="shared" si="9"/>
        <v>2.8500000000000014</v>
      </c>
      <c r="AO20" s="28">
        <f t="shared" si="10"/>
        <v>4.5583470387909278E-41</v>
      </c>
      <c r="AP20" s="28">
        <f t="shared" si="11"/>
        <v>4.5583470387909276E-29</v>
      </c>
      <c r="AQ20" s="28">
        <f t="shared" si="12"/>
        <v>3.0651939509803652E+16</v>
      </c>
      <c r="AR20" s="26">
        <f t="shared" si="13"/>
        <v>259.94669991635072</v>
      </c>
      <c r="AS20" s="26">
        <f t="shared" si="14"/>
        <v>9.7805379625036455</v>
      </c>
      <c r="AT20" s="26">
        <f t="shared" si="15"/>
        <v>5331.4052090243149</v>
      </c>
      <c r="AU20" s="26">
        <f t="shared" si="16"/>
        <v>0.58902203766312189</v>
      </c>
      <c r="AV20" s="28">
        <f t="shared" si="17"/>
        <v>0.40968380076063071</v>
      </c>
      <c r="AW20" s="30">
        <f t="shared" si="18"/>
        <v>743984918366.03394</v>
      </c>
      <c r="AY20">
        <v>298.14999999999998</v>
      </c>
      <c r="AZ20" s="26">
        <f t="shared" si="19"/>
        <v>2.1173560800000001E-2</v>
      </c>
    </row>
    <row r="21" spans="1:52" x14ac:dyDescent="0.3">
      <c r="A21">
        <v>21</v>
      </c>
      <c r="B21" t="s">
        <v>132</v>
      </c>
      <c r="C21" t="s">
        <v>13</v>
      </c>
      <c r="D21" t="s">
        <v>240</v>
      </c>
      <c r="E21" s="23">
        <v>45</v>
      </c>
      <c r="F21">
        <f t="shared" si="20"/>
        <v>24</v>
      </c>
      <c r="G21" s="26">
        <f t="shared" si="0"/>
        <v>45.37227618</v>
      </c>
      <c r="H21" s="26">
        <f>(G21-(A21*'Atomic Particles'!C1))/'Atomic Particles'!C2+A21</f>
        <v>45.011374070138203</v>
      </c>
      <c r="I21" s="26">
        <f t="shared" si="1"/>
        <v>0.54979450446129852</v>
      </c>
      <c r="J21" s="26">
        <f>(('Atomic Particles'!C1)*A21)+(('Atomic Particles'!C2)*Elements!F21)</f>
        <v>45.360803543088799</v>
      </c>
      <c r="K21" s="30">
        <f>(E21^(1/3))*Constants!B2</f>
        <v>4.4461166306125785E-15</v>
      </c>
      <c r="L21" s="24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 s="26">
        <f t="shared" si="2"/>
        <v>17.149999999999999</v>
      </c>
      <c r="AH21" s="26">
        <f t="shared" si="3"/>
        <v>108.22800527361433</v>
      </c>
      <c r="AI21" s="26">
        <f t="shared" si="4"/>
        <v>0.69612910638442527</v>
      </c>
      <c r="AJ21" s="26">
        <f t="shared" si="5"/>
        <v>45.372283959864262</v>
      </c>
      <c r="AK21" s="28">
        <f t="shared" si="6"/>
        <v>3.4544607523993089E-10</v>
      </c>
      <c r="AL21">
        <f t="shared" si="7"/>
        <v>8.2028259443911404E-17</v>
      </c>
      <c r="AM21" s="15">
        <f t="shared" si="8"/>
        <v>0</v>
      </c>
      <c r="AN21">
        <f t="shared" si="9"/>
        <v>3.8500000000000014</v>
      </c>
      <c r="AO21" s="28">
        <f t="shared" si="10"/>
        <v>1.8490973558424228E-41</v>
      </c>
      <c r="AP21" s="28">
        <f t="shared" si="11"/>
        <v>1.8490973558424228E-29</v>
      </c>
      <c r="AQ21" s="28">
        <f t="shared" si="12"/>
        <v>4.931470205759324E+16</v>
      </c>
      <c r="AR21" s="26">
        <f t="shared" si="13"/>
        <v>192.42807656145447</v>
      </c>
      <c r="AS21" s="26">
        <f t="shared" si="14"/>
        <v>6.0791700140432949</v>
      </c>
      <c r="AT21" s="26">
        <f t="shared" si="15"/>
        <v>9729.1171081271623</v>
      </c>
      <c r="AU21" s="26">
        <f t="shared" si="16"/>
        <v>0.5497495376922481</v>
      </c>
      <c r="AV21" s="28">
        <f t="shared" si="17"/>
        <v>0.16618858245573384</v>
      </c>
      <c r="AW21" s="30">
        <f t="shared" si="18"/>
        <v>1834052403365.1396</v>
      </c>
      <c r="AY21">
        <v>298.14999999999998</v>
      </c>
      <c r="AZ21" s="26">
        <f t="shared" si="19"/>
        <v>2.2686138090000002E-2</v>
      </c>
    </row>
    <row r="22" spans="1:52" x14ac:dyDescent="0.3">
      <c r="A22">
        <v>22</v>
      </c>
      <c r="B22" t="s">
        <v>133</v>
      </c>
      <c r="C22" t="s">
        <v>15</v>
      </c>
      <c r="D22" t="s">
        <v>240</v>
      </c>
      <c r="E22" s="23">
        <v>49</v>
      </c>
      <c r="F22">
        <f t="shared" si="20"/>
        <v>27</v>
      </c>
      <c r="G22" s="26">
        <f t="shared" si="0"/>
        <v>49.406095759999992</v>
      </c>
      <c r="H22" s="26">
        <f>(G22-(A22*'Atomic Particles'!C1))/'Atomic Particles'!C2+A22</f>
        <v>49.011914000073702</v>
      </c>
      <c r="I22" s="26">
        <f t="shared" si="1"/>
        <v>0.67197106100825432</v>
      </c>
      <c r="J22" s="26">
        <f>(('Atomic Particles'!C1)*A22)+(('Atomic Particles'!C2)*Elements!F22)</f>
        <v>49.394078514164093</v>
      </c>
      <c r="K22" s="30">
        <f>(E22^(1/3))*Constants!B2</f>
        <v>4.5741321375287138E-15</v>
      </c>
      <c r="L22" s="24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 s="26">
        <f t="shared" si="2"/>
        <v>18.850000000000001</v>
      </c>
      <c r="AH22" s="26">
        <f t="shared" si="3"/>
        <v>64.547450897228018</v>
      </c>
      <c r="AI22" s="26">
        <f t="shared" si="4"/>
        <v>1.2709846921778771</v>
      </c>
      <c r="AJ22" s="26">
        <f t="shared" si="5"/>
        <v>49.406103754236902</v>
      </c>
      <c r="AK22" s="28">
        <f t="shared" si="6"/>
        <v>4.2221186973769373E-10</v>
      </c>
      <c r="AL22">
        <f t="shared" si="7"/>
        <v>1.2253604188534937E-16</v>
      </c>
      <c r="AM22" s="15">
        <f t="shared" si="8"/>
        <v>0</v>
      </c>
      <c r="AN22">
        <f t="shared" si="9"/>
        <v>3.1499999999999986</v>
      </c>
      <c r="AO22" s="28">
        <f t="shared" si="10"/>
        <v>3.3760611531224582E-41</v>
      </c>
      <c r="AP22" s="28">
        <f t="shared" si="11"/>
        <v>3.3760611531224579E-29</v>
      </c>
      <c r="AQ22" s="28">
        <f t="shared" si="12"/>
        <v>3.7355352855721008E+16</v>
      </c>
      <c r="AR22" s="26">
        <f t="shared" si="13"/>
        <v>235.18987135288901</v>
      </c>
      <c r="AS22" s="26">
        <f t="shared" si="14"/>
        <v>8.0254216620011523</v>
      </c>
      <c r="AT22" s="26">
        <f t="shared" si="15"/>
        <v>6512.8800475892449</v>
      </c>
      <c r="AU22" s="26">
        <f t="shared" si="16"/>
        <v>0.50486458139027024</v>
      </c>
      <c r="AV22" s="28">
        <f t="shared" si="17"/>
        <v>0.30342524451108693</v>
      </c>
      <c r="AW22" s="30">
        <f t="shared" si="18"/>
        <v>1004526072166.1783</v>
      </c>
      <c r="AY22">
        <v>298.14999999999998</v>
      </c>
      <c r="AZ22" s="26">
        <f t="shared" si="19"/>
        <v>2.4703047879999995E-2</v>
      </c>
    </row>
    <row r="23" spans="1:52" x14ac:dyDescent="0.3">
      <c r="A23">
        <v>23</v>
      </c>
      <c r="B23" t="s">
        <v>134</v>
      </c>
      <c r="C23" t="s">
        <v>22</v>
      </c>
      <c r="D23" t="s">
        <v>240</v>
      </c>
      <c r="E23" s="23">
        <v>51</v>
      </c>
      <c r="F23">
        <f t="shared" si="20"/>
        <v>28</v>
      </c>
      <c r="G23" s="26">
        <f t="shared" si="0"/>
        <v>51.422585339999998</v>
      </c>
      <c r="H23" s="26">
        <f>(G23-(A23*'Atomic Particles'!C1))/'Atomic Particles'!C2+A23</f>
        <v>51.012455752649856</v>
      </c>
      <c r="I23" s="26">
        <f t="shared" si="1"/>
        <v>0.64142692187151507</v>
      </c>
      <c r="J23" s="26">
        <f>(('Atomic Particles'!C23)*A1)+(('Atomic Particles'!C2)*Elements!F23)</f>
        <v>28.242645738097075</v>
      </c>
      <c r="K23" s="30">
        <f>(E23^(1/3))*Constants!B2</f>
        <v>4.6355372115827367E-15</v>
      </c>
      <c r="L23" s="24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 s="26">
        <f t="shared" si="2"/>
        <v>19.7</v>
      </c>
      <c r="AH23" s="26">
        <f t="shared" si="3"/>
        <v>77.243621282830034</v>
      </c>
      <c r="AI23" s="26">
        <f t="shared" si="4"/>
        <v>1.1054272383789723</v>
      </c>
      <c r="AJ23" s="26">
        <f t="shared" si="5"/>
        <v>51.422593716714104</v>
      </c>
      <c r="AK23" s="28">
        <f t="shared" si="6"/>
        <v>4.0302042111325284E-10</v>
      </c>
      <c r="AL23">
        <f t="shared" si="7"/>
        <v>1.116495753542128E-16</v>
      </c>
      <c r="AM23" s="15">
        <f t="shared" si="8"/>
        <v>0</v>
      </c>
      <c r="AN23">
        <f t="shared" si="9"/>
        <v>3.3000000000000007</v>
      </c>
      <c r="AO23" s="28">
        <f t="shared" si="10"/>
        <v>2.9362981159905167E-41</v>
      </c>
      <c r="AP23" s="28">
        <f t="shared" si="11"/>
        <v>2.9362981159905165E-29</v>
      </c>
      <c r="AQ23" s="28">
        <f t="shared" si="12"/>
        <v>4.0955336617237216E+16</v>
      </c>
      <c r="AR23" s="26">
        <f t="shared" si="13"/>
        <v>224.49942265503029</v>
      </c>
      <c r="AS23" s="26">
        <f t="shared" si="14"/>
        <v>7.3199852024613525</v>
      </c>
      <c r="AT23" s="26">
        <f t="shared" si="15"/>
        <v>7147.9227733179105</v>
      </c>
      <c r="AU23" s="26">
        <f t="shared" si="16"/>
        <v>0.48506677929702091</v>
      </c>
      <c r="AV23" s="28">
        <f t="shared" si="17"/>
        <v>0.26390131380702203</v>
      </c>
      <c r="AW23" s="30">
        <f t="shared" si="18"/>
        <v>1154971775880.0872</v>
      </c>
      <c r="AY23">
        <v>298.14999999999998</v>
      </c>
      <c r="AZ23" s="26">
        <f t="shared" si="19"/>
        <v>2.571129267E-2</v>
      </c>
    </row>
    <row r="24" spans="1:52" x14ac:dyDescent="0.3">
      <c r="A24">
        <v>24</v>
      </c>
      <c r="B24" t="s">
        <v>135</v>
      </c>
      <c r="C24" t="s">
        <v>23</v>
      </c>
      <c r="D24" t="s">
        <v>240</v>
      </c>
      <c r="E24" s="23">
        <v>52</v>
      </c>
      <c r="F24">
        <f t="shared" si="20"/>
        <v>28</v>
      </c>
      <c r="G24" s="26">
        <f t="shared" si="0"/>
        <v>52.430409919999995</v>
      </c>
      <c r="H24" s="26">
        <f>(G24-(A24*'Atomic Particles'!C1))/'Atomic Particles'!C2+A24</f>
        <v>52.012998416546331</v>
      </c>
      <c r="I24" s="26">
        <f t="shared" si="1"/>
        <v>0.71752842107660941</v>
      </c>
      <c r="J24" s="26">
        <f>(('Atomic Particles'!C1)*A24)+(('Atomic Particles'!C2)*Elements!F24)</f>
        <v>52.417298860225912</v>
      </c>
      <c r="K24" s="30">
        <f>(E24^(1/3))*Constants!B2</f>
        <v>4.6656389460215607E-15</v>
      </c>
      <c r="L24" s="24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 s="26">
        <f t="shared" si="2"/>
        <v>21.049999999999997</v>
      </c>
      <c r="AH24" s="26">
        <f t="shared" si="3"/>
        <v>56.262133874192209</v>
      </c>
      <c r="AI24" s="26">
        <f t="shared" si="4"/>
        <v>1.5474119034808824</v>
      </c>
      <c r="AJ24" s="26">
        <f t="shared" si="5"/>
        <v>52.430418763243573</v>
      </c>
      <c r="AK24" s="28">
        <f t="shared" si="6"/>
        <v>4.508364032792315E-10</v>
      </c>
      <c r="AL24">
        <f t="shared" si="7"/>
        <v>1.3971432066732263E-16</v>
      </c>
      <c r="AM24" s="15">
        <f t="shared" si="8"/>
        <v>0</v>
      </c>
      <c r="AN24">
        <f t="shared" si="9"/>
        <v>2.9500000000000028</v>
      </c>
      <c r="AO24" s="28">
        <f t="shared" si="10"/>
        <v>4.110322687104363E-41</v>
      </c>
      <c r="AP24" s="28">
        <f t="shared" si="11"/>
        <v>4.110322687104363E-29</v>
      </c>
      <c r="AQ24" s="28">
        <f t="shared" si="12"/>
        <v>3.5360167762038028E+16</v>
      </c>
      <c r="AR24" s="26">
        <f t="shared" si="13"/>
        <v>251.1349473768133</v>
      </c>
      <c r="AS24" s="26">
        <f t="shared" si="14"/>
        <v>8.4782532712373389</v>
      </c>
      <c r="AT24" s="26">
        <f t="shared" si="15"/>
        <v>5712.1026570063568</v>
      </c>
      <c r="AU24" s="26">
        <f t="shared" si="16"/>
        <v>0.47574275867877869</v>
      </c>
      <c r="AV24" s="28">
        <f t="shared" si="17"/>
        <v>0.36941738013264924</v>
      </c>
      <c r="AW24" s="30">
        <f t="shared" si="18"/>
        <v>825079125826.0188</v>
      </c>
      <c r="AY24">
        <v>298.14999999999998</v>
      </c>
      <c r="AZ24" s="26">
        <f t="shared" si="19"/>
        <v>2.6215204959999999E-2</v>
      </c>
    </row>
    <row r="25" spans="1:52" x14ac:dyDescent="0.3">
      <c r="A25">
        <v>25</v>
      </c>
      <c r="B25" t="s">
        <v>136</v>
      </c>
      <c r="C25" t="s">
        <v>30</v>
      </c>
      <c r="D25" t="s">
        <v>240</v>
      </c>
      <c r="E25" s="23">
        <v>55</v>
      </c>
      <c r="F25">
        <f t="shared" si="20"/>
        <v>30</v>
      </c>
      <c r="G25" s="26">
        <f t="shared" si="0"/>
        <v>55.455564500000001</v>
      </c>
      <c r="H25" s="26">
        <f>(G25-(A25*'Atomic Particles'!C1))/'Atomic Particles'!C2+A25</f>
        <v>55.013539257802165</v>
      </c>
      <c r="I25" s="26">
        <f t="shared" si="1"/>
        <v>0.58797467838222206</v>
      </c>
      <c r="J25" s="26">
        <f>(('Atomic Particles'!C1)*A25)+(('Atomic Particles'!C2)*Elements!F25)</f>
        <v>55.441907912083451</v>
      </c>
      <c r="K25" s="30">
        <f>(E25^(1/3))*Constants!B2</f>
        <v>4.7536905759517394E-15</v>
      </c>
      <c r="L25" s="24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 s="26">
        <f t="shared" si="2"/>
        <v>21.4</v>
      </c>
      <c r="AH25" s="26">
        <f t="shared" si="3"/>
        <v>108.14825874752484</v>
      </c>
      <c r="AI25" s="26">
        <f t="shared" si="4"/>
        <v>0.85146044808009924</v>
      </c>
      <c r="AJ25" s="26">
        <f t="shared" si="5"/>
        <v>55.455573641668487</v>
      </c>
      <c r="AK25" s="28">
        <f t="shared" si="6"/>
        <v>3.6943538602048164E-10</v>
      </c>
      <c r="AL25">
        <f t="shared" si="7"/>
        <v>9.3816657068470441E-17</v>
      </c>
      <c r="AM25" s="15">
        <f t="shared" si="8"/>
        <v>0</v>
      </c>
      <c r="AN25">
        <f t="shared" si="9"/>
        <v>3.6000000000000014</v>
      </c>
      <c r="AO25" s="28">
        <f t="shared" si="10"/>
        <v>2.2616972178144531E-41</v>
      </c>
      <c r="AP25" s="28">
        <f t="shared" si="11"/>
        <v>2.261697217814453E-29</v>
      </c>
      <c r="AQ25" s="28">
        <f t="shared" si="12"/>
        <v>4.8651857660470328E+16</v>
      </c>
      <c r="AR25" s="26">
        <f t="shared" si="13"/>
        <v>205.79113743377772</v>
      </c>
      <c r="AS25" s="26">
        <f t="shared" si="14"/>
        <v>6.1619940618132167</v>
      </c>
      <c r="AT25" s="26">
        <f t="shared" si="15"/>
        <v>8506.6188376676</v>
      </c>
      <c r="AU25" s="26">
        <f t="shared" si="16"/>
        <v>0.44979053191316809</v>
      </c>
      <c r="AV25" s="28">
        <f t="shared" si="17"/>
        <v>0.20327120872520027</v>
      </c>
      <c r="AW25" s="30">
        <f t="shared" si="18"/>
        <v>1499467489647.4771</v>
      </c>
      <c r="AY25">
        <v>298.14999999999998</v>
      </c>
      <c r="AZ25" s="26">
        <f t="shared" si="19"/>
        <v>2.7727782249999999E-2</v>
      </c>
    </row>
    <row r="26" spans="1:52" x14ac:dyDescent="0.3">
      <c r="A26">
        <v>26</v>
      </c>
      <c r="B26" t="s">
        <v>137</v>
      </c>
      <c r="C26" t="s">
        <v>31</v>
      </c>
      <c r="D26" t="s">
        <v>240</v>
      </c>
      <c r="E26" s="23">
        <v>56</v>
      </c>
      <c r="F26">
        <f t="shared" si="20"/>
        <v>30</v>
      </c>
      <c r="G26" s="26">
        <f t="shared" si="0"/>
        <v>56.463389079999999</v>
      </c>
      <c r="H26" s="26">
        <f>(G26-(A26*'Atomic Particles'!C1))/'Atomic Particles'!C2+A26</f>
        <v>56.014081921698633</v>
      </c>
      <c r="I26" s="26">
        <f t="shared" si="1"/>
        <v>0.5644556912469334</v>
      </c>
      <c r="J26" s="26">
        <f>(('Atomic Particles'!C1)*A26)+(('Atomic Particles'!C2)*Elements!F26)</f>
        <v>56.449185125505494</v>
      </c>
      <c r="K26" s="30">
        <f>(E26^(1/3))*Constants!B2</f>
        <v>4.7823279569309731E-15</v>
      </c>
      <c r="L26" s="24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 s="26">
        <f t="shared" si="2"/>
        <v>22.25</v>
      </c>
      <c r="AH26" s="26">
        <f t="shared" si="3"/>
        <v>124.45938307198725</v>
      </c>
      <c r="AI26" s="26">
        <f t="shared" si="4"/>
        <v>0.75331771099259548</v>
      </c>
      <c r="AJ26" s="26">
        <f t="shared" si="5"/>
        <v>56.463398688197955</v>
      </c>
      <c r="AK26" s="28">
        <f t="shared" si="6"/>
        <v>3.5465797057966253E-10</v>
      </c>
      <c r="AL26">
        <f t="shared" si="7"/>
        <v>8.6461431154302426E-17</v>
      </c>
      <c r="AM26" s="15">
        <f t="shared" si="8"/>
        <v>0</v>
      </c>
      <c r="AN26">
        <f t="shared" si="9"/>
        <v>3.75</v>
      </c>
      <c r="AO26" s="28">
        <f t="shared" si="10"/>
        <v>2.0010049497002903E-41</v>
      </c>
      <c r="AP26" s="28">
        <f t="shared" si="11"/>
        <v>2.0010049497002904E-29</v>
      </c>
      <c r="AQ26" s="28">
        <f t="shared" si="12"/>
        <v>5.2748394740972368E+16</v>
      </c>
      <c r="AR26" s="26">
        <f t="shared" si="13"/>
        <v>197.5594919364267</v>
      </c>
      <c r="AS26" s="26">
        <f t="shared" si="14"/>
        <v>5.6834423013661102</v>
      </c>
      <c r="AT26" s="26">
        <f t="shared" si="15"/>
        <v>9230.2721762886213</v>
      </c>
      <c r="AU26" s="26">
        <f t="shared" si="16"/>
        <v>0.44176214464666708</v>
      </c>
      <c r="AV26" s="28">
        <f t="shared" si="17"/>
        <v>0.179841356122699</v>
      </c>
      <c r="AW26" s="30">
        <f t="shared" si="18"/>
        <v>1694819120785.7205</v>
      </c>
      <c r="AY26">
        <v>298.14999999999998</v>
      </c>
      <c r="AZ26" s="26">
        <f t="shared" si="19"/>
        <v>2.8231694539999998E-2</v>
      </c>
    </row>
    <row r="27" spans="1:52" x14ac:dyDescent="0.3">
      <c r="A27">
        <v>27</v>
      </c>
      <c r="B27" t="s">
        <v>138</v>
      </c>
      <c r="C27" t="s">
        <v>38</v>
      </c>
      <c r="D27" t="s">
        <v>240</v>
      </c>
      <c r="E27" s="23">
        <v>59</v>
      </c>
      <c r="F27">
        <f t="shared" si="20"/>
        <v>32</v>
      </c>
      <c r="G27" s="26">
        <f t="shared" si="0"/>
        <v>59.488543659999998</v>
      </c>
      <c r="H27" s="26">
        <f>(G27-(A27*'Atomic Particles'!C1))/'Atomic Particles'!C2+A27</f>
        <v>59.014622762954467</v>
      </c>
      <c r="I27" s="26">
        <f t="shared" si="1"/>
        <v>0.54274585696820532</v>
      </c>
      <c r="J27" s="26">
        <f>(('Atomic Particles'!C1)*A27)+(('Atomic Particles'!C2)*Elements!F27)</f>
        <v>59.473794177363033</v>
      </c>
      <c r="K27" s="30">
        <f>(E27^(1/3))*Constants!B2</f>
        <v>4.8662455198415752E-15</v>
      </c>
      <c r="L27" s="24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 s="26">
        <f t="shared" si="2"/>
        <v>23.1</v>
      </c>
      <c r="AH27" s="26">
        <f t="shared" si="3"/>
        <v>147.50069166117507</v>
      </c>
      <c r="AI27" s="26">
        <f t="shared" si="4"/>
        <v>0.66969670199472653</v>
      </c>
      <c r="AJ27" s="26">
        <f t="shared" si="5"/>
        <v>59.488553566622876</v>
      </c>
      <c r="AK27" s="28">
        <f t="shared" si="6"/>
        <v>3.4101727940352178E-10</v>
      </c>
      <c r="AL27">
        <f t="shared" si="7"/>
        <v>7.9938453360116929E-17</v>
      </c>
      <c r="AM27" s="15">
        <f t="shared" si="8"/>
        <v>0</v>
      </c>
      <c r="AN27">
        <f t="shared" si="9"/>
        <v>3.8999999999999986</v>
      </c>
      <c r="AO27" s="28">
        <f t="shared" si="10"/>
        <v>1.7788861139660365E-41</v>
      </c>
      <c r="AP27" s="28">
        <f t="shared" si="11"/>
        <v>1.7788861139660365E-29</v>
      </c>
      <c r="AQ27" s="28">
        <f t="shared" si="12"/>
        <v>5.7010449418455352E+16</v>
      </c>
      <c r="AR27" s="26">
        <f t="shared" si="13"/>
        <v>189.96104993887187</v>
      </c>
      <c r="AS27" s="26">
        <f t="shared" si="14"/>
        <v>5.2585527926561397</v>
      </c>
      <c r="AT27" s="26">
        <f t="shared" si="15"/>
        <v>9983.462385873765</v>
      </c>
      <c r="AU27" s="26">
        <f t="shared" si="16"/>
        <v>0.41929733557710031</v>
      </c>
      <c r="AV27" s="28">
        <f t="shared" si="17"/>
        <v>0.15987831073151876</v>
      </c>
      <c r="AW27" s="30">
        <f t="shared" si="18"/>
        <v>1906441015483.5073</v>
      </c>
      <c r="AY27">
        <v>298.14999999999998</v>
      </c>
      <c r="AZ27" s="26">
        <f t="shared" si="19"/>
        <v>2.9744271829999998E-2</v>
      </c>
    </row>
    <row r="28" spans="1:52" x14ac:dyDescent="0.3">
      <c r="A28">
        <v>28</v>
      </c>
      <c r="B28" t="s">
        <v>139</v>
      </c>
      <c r="C28" t="s">
        <v>39</v>
      </c>
      <c r="D28" t="s">
        <v>240</v>
      </c>
      <c r="E28" s="23">
        <v>60</v>
      </c>
      <c r="F28">
        <f t="shared" si="20"/>
        <v>32</v>
      </c>
      <c r="G28" s="26">
        <f t="shared" si="0"/>
        <v>60.496368240000002</v>
      </c>
      <c r="H28" s="26">
        <f>(G28-(A28*'Atomic Particles'!C1))/'Atomic Particles'!C2+A28</f>
        <v>60.015165426850942</v>
      </c>
      <c r="I28" s="26">
        <f t="shared" si="1"/>
        <v>0.52264415856197521</v>
      </c>
      <c r="J28" s="26">
        <f>(('Atomic Particles'!C1)*A28)+(('Atomic Particles'!C2)*Elements!F28)</f>
        <v>60.481071390785061</v>
      </c>
      <c r="K28" s="30">
        <f>(E28^(1/3))*Constants!B2</f>
        <v>4.8935845514610794E-15</v>
      </c>
      <c r="L28" s="24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 s="26">
        <f t="shared" si="2"/>
        <v>23.95</v>
      </c>
      <c r="AH28" s="26">
        <f t="shared" si="3"/>
        <v>167.98142916463831</v>
      </c>
      <c r="AI28" s="26">
        <f t="shared" si="4"/>
        <v>0.59800788671743599</v>
      </c>
      <c r="AJ28" s="26">
        <f t="shared" si="5"/>
        <v>60.496378613152352</v>
      </c>
      <c r="AK28" s="28">
        <f t="shared" si="6"/>
        <v>3.2838700979598377E-10</v>
      </c>
      <c r="AL28">
        <f t="shared" si="7"/>
        <v>7.4126741387433465E-17</v>
      </c>
      <c r="AM28" s="15">
        <f t="shared" si="8"/>
        <v>0</v>
      </c>
      <c r="AN28">
        <f t="shared" si="9"/>
        <v>4.0500000000000007</v>
      </c>
      <c r="AO28" s="28">
        <f t="shared" si="10"/>
        <v>1.5884622435130323E-41</v>
      </c>
      <c r="AP28" s="28">
        <f t="shared" si="11"/>
        <v>1.5884622435130323E-29</v>
      </c>
      <c r="AQ28" s="28">
        <f t="shared" si="12"/>
        <v>6.1438021626005944E+16</v>
      </c>
      <c r="AR28" s="26">
        <f t="shared" si="13"/>
        <v>182.92545549669131</v>
      </c>
      <c r="AS28" s="26">
        <f t="shared" si="14"/>
        <v>4.8795916610879546</v>
      </c>
      <c r="AT28" s="26">
        <f t="shared" si="15"/>
        <v>10766.189466423051</v>
      </c>
      <c r="AU28" s="26">
        <f t="shared" si="16"/>
        <v>0.41231215326918608</v>
      </c>
      <c r="AV28" s="28">
        <f t="shared" si="17"/>
        <v>0.14276386675898844</v>
      </c>
      <c r="AW28" s="30">
        <f t="shared" si="18"/>
        <v>2134983984283.2229</v>
      </c>
      <c r="AY28">
        <v>298.14999999999998</v>
      </c>
      <c r="AZ28" s="26">
        <f t="shared" si="19"/>
        <v>3.024818412E-2</v>
      </c>
    </row>
    <row r="29" spans="1:52" x14ac:dyDescent="0.3">
      <c r="A29">
        <v>29</v>
      </c>
      <c r="B29" t="s">
        <v>140</v>
      </c>
      <c r="C29" t="s">
        <v>46</v>
      </c>
      <c r="D29" t="s">
        <v>240</v>
      </c>
      <c r="E29" s="23">
        <v>63</v>
      </c>
      <c r="F29">
        <f t="shared" si="20"/>
        <v>34</v>
      </c>
      <c r="G29" s="26">
        <f t="shared" si="0"/>
        <v>63.521522820000001</v>
      </c>
      <c r="H29" s="26">
        <f>(G29-(A29*'Atomic Particles'!C1))/'Atomic Particles'!C2+A29</f>
        <v>63.015706268106769</v>
      </c>
      <c r="I29" s="26">
        <f t="shared" si="1"/>
        <v>0.57208347085837796</v>
      </c>
      <c r="J29" s="26">
        <f>(('Atomic Particles'!C1)*A29)+(('Atomic Particles'!C2)*Elements!F29)</f>
        <v>63.5056804426426</v>
      </c>
      <c r="K29" s="30">
        <f>(E29^(1/3))*Constants!B2</f>
        <v>4.9738215098704893E-15</v>
      </c>
      <c r="L29" s="24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 s="26">
        <f t="shared" si="2"/>
        <v>25.299999999999997</v>
      </c>
      <c r="AH29" s="26">
        <f t="shared" si="3"/>
        <v>134.49092230064039</v>
      </c>
      <c r="AI29" s="26">
        <f t="shared" si="4"/>
        <v>0.78427217865921184</v>
      </c>
      <c r="AJ29" s="26">
        <f t="shared" si="5"/>
        <v>63.521533491577259</v>
      </c>
      <c r="AK29" s="28">
        <f t="shared" si="6"/>
        <v>3.5945064585776578E-10</v>
      </c>
      <c r="AL29">
        <f t="shared" si="7"/>
        <v>8.8814015749260469E-17</v>
      </c>
      <c r="AM29" s="15">
        <f t="shared" si="8"/>
        <v>0</v>
      </c>
      <c r="AN29">
        <f t="shared" si="9"/>
        <v>3.7000000000000028</v>
      </c>
      <c r="AO29" s="28">
        <f t="shared" si="10"/>
        <v>2.0832279508489326E-41</v>
      </c>
      <c r="AP29" s="28">
        <f t="shared" si="11"/>
        <v>2.0832279508489327E-29</v>
      </c>
      <c r="AQ29" s="28">
        <f t="shared" si="12"/>
        <v>5.4598065729661184E+16</v>
      </c>
      <c r="AR29" s="26">
        <f t="shared" si="13"/>
        <v>200.22921480043229</v>
      </c>
      <c r="AS29" s="26">
        <f t="shared" si="14"/>
        <v>5.4908988806380634</v>
      </c>
      <c r="AT29" s="26">
        <f t="shared" si="15"/>
        <v>8985.772522196723</v>
      </c>
      <c r="AU29" s="26">
        <f t="shared" si="16"/>
        <v>0.39267616308068859</v>
      </c>
      <c r="AV29" s="28">
        <f t="shared" si="17"/>
        <v>0.18723119093208557</v>
      </c>
      <c r="AW29" s="30">
        <f t="shared" si="18"/>
        <v>1627926242136.3545</v>
      </c>
      <c r="AY29">
        <v>298.14999999999998</v>
      </c>
      <c r="AZ29" s="26">
        <f t="shared" si="19"/>
        <v>3.1760761409999998E-2</v>
      </c>
    </row>
    <row r="30" spans="1:52" x14ac:dyDescent="0.3">
      <c r="A30">
        <v>30</v>
      </c>
      <c r="B30" t="s">
        <v>141</v>
      </c>
      <c r="C30" t="s">
        <v>47</v>
      </c>
      <c r="D30" t="s">
        <v>240</v>
      </c>
      <c r="E30" s="23">
        <v>64</v>
      </c>
      <c r="F30">
        <f t="shared" si="20"/>
        <v>34</v>
      </c>
      <c r="G30" s="26">
        <f t="shared" si="0"/>
        <v>64.529347399999992</v>
      </c>
      <c r="H30" s="26">
        <f>(G30-(A30*'Atomic Particles'!C1))/'Atomic Particles'!C2+A30</f>
        <v>64.016248932003236</v>
      </c>
      <c r="I30" s="26">
        <f t="shared" si="1"/>
        <v>0.48659973383356303</v>
      </c>
      <c r="J30" s="26">
        <f>(('Atomic Particles'!C1)*A30)+(('Atomic Particles'!C2)*Elements!F30)</f>
        <v>64.512957656064629</v>
      </c>
      <c r="K30" s="30">
        <f>(E30^(1/3))*Constants!B2</f>
        <v>4.9999999999999992E-15</v>
      </c>
      <c r="L30" s="24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 s="26">
        <f t="shared" si="2"/>
        <v>25.65</v>
      </c>
      <c r="AH30" s="26">
        <f t="shared" si="3"/>
        <v>222.01992035595811</v>
      </c>
      <c r="AI30" s="26">
        <f t="shared" si="4"/>
        <v>0.4826187721620111</v>
      </c>
      <c r="AJ30" s="26">
        <f t="shared" si="5"/>
        <v>64.529358538106734</v>
      </c>
      <c r="AK30" s="28">
        <f t="shared" si="6"/>
        <v>3.0573962981005377E-10</v>
      </c>
      <c r="AL30">
        <f t="shared" si="7"/>
        <v>6.4254928027870364E-17</v>
      </c>
      <c r="AM30" s="15">
        <f t="shared" si="8"/>
        <v>0</v>
      </c>
      <c r="AN30">
        <f t="shared" si="9"/>
        <v>4.3500000000000014</v>
      </c>
      <c r="AO30" s="28">
        <f t="shared" si="10"/>
        <v>1.2819591758197136E-41</v>
      </c>
      <c r="AP30" s="28">
        <f t="shared" si="11"/>
        <v>1.2819591758197135E-29</v>
      </c>
      <c r="AQ30" s="28">
        <f t="shared" si="12"/>
        <v>7.0789718408843032E+16</v>
      </c>
      <c r="AR30" s="26">
        <f t="shared" si="13"/>
        <v>170.30990684174705</v>
      </c>
      <c r="AS30" s="26">
        <f>299792458000000000 / AQ30</f>
        <v>4.2349717549173072</v>
      </c>
      <c r="AT30" s="26">
        <f t="shared" si="15"/>
        <v>12420.254240413977</v>
      </c>
      <c r="AU30" s="26">
        <f t="shared" si="16"/>
        <v>0.38654331492588445</v>
      </c>
      <c r="AV30" s="28">
        <f t="shared" si="17"/>
        <v>0.11521674482008971</v>
      </c>
      <c r="AW30" s="30">
        <f t="shared" si="18"/>
        <v>2645436386357.9517</v>
      </c>
      <c r="AY30">
        <v>298.14999999999998</v>
      </c>
      <c r="AZ30" s="26">
        <f t="shared" si="19"/>
        <v>3.2264673699999996E-2</v>
      </c>
    </row>
    <row r="31" spans="1:52" x14ac:dyDescent="0.3">
      <c r="A31">
        <v>31</v>
      </c>
      <c r="B31" t="s">
        <v>142</v>
      </c>
      <c r="C31" t="s">
        <v>53</v>
      </c>
      <c r="D31" t="s">
        <v>239</v>
      </c>
      <c r="E31" s="23">
        <v>71</v>
      </c>
      <c r="F31">
        <f t="shared" si="20"/>
        <v>40</v>
      </c>
      <c r="G31" s="26">
        <f t="shared" si="0"/>
        <v>71.589161979999986</v>
      </c>
      <c r="H31" s="26">
        <f>(G31-(A31*'Atomic Particles'!C1))/'Atomic Particles'!C2+A31</f>
        <v>71.016786127977753</v>
      </c>
      <c r="I31" s="26">
        <f t="shared" si="1"/>
        <v>0.42334176843520005</v>
      </c>
      <c r="J31" s="26">
        <f>(('Atomic Particles'!C1)*A31)+(('Atomic Particles'!C2)*Elements!F31)</f>
        <v>71.572230384793187</v>
      </c>
      <c r="K31" s="30">
        <f>(E31^(1/3))*Constants!B2</f>
        <v>5.1760221867785662E-15</v>
      </c>
      <c r="L31" s="24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 s="26">
        <f t="shared" si="2"/>
        <v>26</v>
      </c>
      <c r="AH31" s="26">
        <f t="shared" si="3"/>
        <v>374.04528984457875</v>
      </c>
      <c r="AI31" s="26">
        <f t="shared" si="4"/>
        <v>0.31780590932500125</v>
      </c>
      <c r="AJ31" s="26">
        <f t="shared" si="5"/>
        <v>71.589173080322553</v>
      </c>
      <c r="AK31" s="28">
        <f t="shared" si="6"/>
        <v>2.6599347793474691E-10</v>
      </c>
      <c r="AL31">
        <f t="shared" si="7"/>
        <v>4.8634555024295111E-17</v>
      </c>
      <c r="AM31" s="15">
        <f t="shared" si="8"/>
        <v>0</v>
      </c>
      <c r="AN31">
        <f t="shared" si="9"/>
        <v>5</v>
      </c>
      <c r="AO31" s="28">
        <f>4 * PI() * 8.854187817E-12 * (I31 * 0.0000000001)^3</f>
        <v>8.4417396315480997E-42</v>
      </c>
      <c r="AP31" s="28">
        <f t="shared" si="11"/>
        <v>8.4417396315481003E-30</v>
      </c>
      <c r="AQ31" s="28">
        <f t="shared" si="12"/>
        <v>8.8677108866630784E+16</v>
      </c>
      <c r="AR31" s="26">
        <f t="shared" si="13"/>
        <v>148.16961895232001</v>
      </c>
      <c r="AS31" s="26">
        <f t="shared" si="14"/>
        <v>3.3807198027946983</v>
      </c>
      <c r="AT31" s="26">
        <f t="shared" si="15"/>
        <v>16409.372757846435</v>
      </c>
      <c r="AU31" s="26">
        <f t="shared" si="16"/>
        <v>0.34842407934553682</v>
      </c>
      <c r="AV31" s="28">
        <f t="shared" si="17"/>
        <v>7.5870572114263637E-2</v>
      </c>
      <c r="AW31" s="30">
        <f t="shared" si="18"/>
        <v>4017349027047.6338</v>
      </c>
      <c r="AY31">
        <v>298.14999999999998</v>
      </c>
      <c r="AZ31" s="26">
        <f t="shared" si="19"/>
        <v>3.5794580989999991E-2</v>
      </c>
    </row>
    <row r="32" spans="1:52" x14ac:dyDescent="0.3">
      <c r="A32">
        <v>32</v>
      </c>
      <c r="B32" t="s">
        <v>143</v>
      </c>
      <c r="C32" t="s">
        <v>228</v>
      </c>
      <c r="D32" t="s">
        <v>237</v>
      </c>
      <c r="E32" s="23">
        <v>70</v>
      </c>
      <c r="F32">
        <f t="shared" si="20"/>
        <v>38</v>
      </c>
      <c r="G32" s="26">
        <f t="shared" si="0"/>
        <v>70.579656559999989</v>
      </c>
      <c r="H32" s="26">
        <f>(G32-(A32*'Atomic Particles'!C1))/'Atomic Particles'!C2+A32</f>
        <v>70.01733061451489</v>
      </c>
      <c r="I32" s="26">
        <f t="shared" si="1"/>
        <v>0.37463873312849549</v>
      </c>
      <c r="J32" s="26">
        <f>(('Atomic Particles'!C1)*A32)+(('Atomic Particles'!C2)*Elements!F32)</f>
        <v>70.56217575977972</v>
      </c>
      <c r="K32" s="30">
        <f>(E32^(1/3))*Constants!B2</f>
        <v>5.1516066247606958E-15</v>
      </c>
      <c r="L32" s="24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 s="26">
        <f t="shared" si="2"/>
        <v>26.349999999999998</v>
      </c>
      <c r="AH32" s="26">
        <f t="shared" si="3"/>
        <v>532.0981915268211</v>
      </c>
      <c r="AI32" s="26">
        <f t="shared" si="4"/>
        <v>0.22025543703050249</v>
      </c>
      <c r="AJ32" s="26">
        <f t="shared" si="5"/>
        <v>70.579668294956576</v>
      </c>
      <c r="AK32" s="28">
        <f t="shared" si="6"/>
        <v>2.3539245834933348E-10</v>
      </c>
      <c r="AL32">
        <f t="shared" si="7"/>
        <v>3.8087990464637068E-17</v>
      </c>
      <c r="AM32" s="15">
        <f t="shared" si="8"/>
        <v>0</v>
      </c>
      <c r="AN32">
        <f t="shared" si="9"/>
        <v>5.6500000000000021</v>
      </c>
      <c r="AO32" s="28">
        <f t="shared" si="10"/>
        <v>5.8505490215504562E-42</v>
      </c>
      <c r="AP32" s="28">
        <f t="shared" si="11"/>
        <v>5.8505490215504564E-30</v>
      </c>
      <c r="AQ32" s="28">
        <f t="shared" si="12"/>
        <v>1.0822393802223485E+17</v>
      </c>
      <c r="AR32" s="26">
        <f t="shared" si="13"/>
        <v>131.12355659497342</v>
      </c>
      <c r="AS32" s="26">
        <f t="shared" si="14"/>
        <v>2.7701122642423801</v>
      </c>
      <c r="AT32" s="26">
        <f t="shared" si="15"/>
        <v>20953.128074494132</v>
      </c>
      <c r="AU32" s="26">
        <f t="shared" si="16"/>
        <v>0.3534076116224163</v>
      </c>
      <c r="AV32" s="28">
        <f t="shared" si="17"/>
        <v>5.2582112315891945E-2</v>
      </c>
      <c r="AW32" s="30">
        <f t="shared" si="18"/>
        <v>5796620859079.957</v>
      </c>
      <c r="AY32">
        <v>298.14999999999998</v>
      </c>
      <c r="AZ32" s="26">
        <f t="shared" si="19"/>
        <v>3.5289828279999991E-2</v>
      </c>
    </row>
    <row r="33" spans="1:52" x14ac:dyDescent="0.3">
      <c r="A33">
        <v>33</v>
      </c>
      <c r="B33" t="s">
        <v>144</v>
      </c>
      <c r="C33" t="s">
        <v>64</v>
      </c>
      <c r="D33" t="s">
        <v>237</v>
      </c>
      <c r="E33" s="23">
        <v>75</v>
      </c>
      <c r="F33">
        <f t="shared" si="20"/>
        <v>42</v>
      </c>
      <c r="G33" s="26">
        <f t="shared" si="0"/>
        <v>75.620495399999996</v>
      </c>
      <c r="H33" s="26">
        <f>(G33-(A33*'Atomic Particles'!C1))/'Atomic Particles'!C2+A33</f>
        <v>75.016238032449763</v>
      </c>
      <c r="I33" s="26">
        <f t="shared" si="1"/>
        <v>0.33598553050412699</v>
      </c>
      <c r="J33" s="26">
        <f>(('Atomic Particles'!C1)*A33)+(('Atomic Particles'!C2)*Elements!F33)</f>
        <v>75.604116650072768</v>
      </c>
      <c r="K33" s="30">
        <f>(E33^(1/3))*Constants!B2</f>
        <v>5.2714541581359321E-15</v>
      </c>
      <c r="L33" s="24">
        <v>30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 s="26">
        <f t="shared" si="2"/>
        <v>26.7</v>
      </c>
      <c r="AH33" s="26">
        <f t="shared" si="3"/>
        <v>790.36566457168135</v>
      </c>
      <c r="AI33" s="26">
        <f t="shared" si="4"/>
        <v>0.15887308652223442</v>
      </c>
      <c r="AJ33" s="26">
        <f t="shared" si="5"/>
        <v>75.620507265549762</v>
      </c>
      <c r="AK33" s="28">
        <f t="shared" si="6"/>
        <v>2.1110593486884673E-10</v>
      </c>
      <c r="AL33">
        <f t="shared" si="7"/>
        <v>3.0634010471337307E-17</v>
      </c>
      <c r="AM33" s="15">
        <f t="shared" si="8"/>
        <v>3</v>
      </c>
      <c r="AN33">
        <f t="shared" si="9"/>
        <v>6.3000000000000007</v>
      </c>
      <c r="AO33" s="28">
        <f t="shared" si="10"/>
        <v>4.2200764414030651E-42</v>
      </c>
      <c r="AP33" s="28">
        <f t="shared" si="11"/>
        <v>4.2200764414030654E-30</v>
      </c>
      <c r="AQ33" s="28">
        <f t="shared" si="12"/>
        <v>1.2940273816154398E+17</v>
      </c>
      <c r="AR33" s="26">
        <f t="shared" si="13"/>
        <v>117.59493567644445</v>
      </c>
      <c r="AS33" s="26">
        <f t="shared" si="14"/>
        <v>2.3167396784583079</v>
      </c>
      <c r="AT33" s="26">
        <f t="shared" si="15"/>
        <v>26051.520190357012</v>
      </c>
      <c r="AU33" s="26">
        <f t="shared" si="16"/>
        <v>0.32984956951234151</v>
      </c>
      <c r="AV33" s="28">
        <f t="shared" si="17"/>
        <v>3.7928155563885797E-2</v>
      </c>
      <c r="AW33" s="30">
        <f t="shared" si="18"/>
        <v>8036208577329.4404</v>
      </c>
      <c r="AY33">
        <v>298.14999999999998</v>
      </c>
      <c r="AZ33" s="26">
        <f t="shared" si="19"/>
        <v>3.7810247699999994E-2</v>
      </c>
    </row>
    <row r="34" spans="1:52" x14ac:dyDescent="0.3">
      <c r="A34">
        <v>34</v>
      </c>
      <c r="B34" t="s">
        <v>145</v>
      </c>
      <c r="C34" t="s">
        <v>229</v>
      </c>
      <c r="D34" t="s">
        <v>233</v>
      </c>
      <c r="E34" s="23">
        <v>77</v>
      </c>
      <c r="F34">
        <f t="shared" si="20"/>
        <v>43</v>
      </c>
      <c r="G34" s="26">
        <f t="shared" si="0"/>
        <v>77.638630719999995</v>
      </c>
      <c r="H34" s="26">
        <f>(G34-(A34*'Atomic Particles'!C1))/'Atomic Particles'!C2+A34</f>
        <v>77.01841138570623</v>
      </c>
      <c r="I34" s="26">
        <f t="shared" si="1"/>
        <v>0.30456242333467615</v>
      </c>
      <c r="J34" s="26">
        <f>(('Atomic Particles'!C1)*A34)+(('Atomic Particles'!C2)*Elements!F34)</f>
        <v>77.620059782712559</v>
      </c>
      <c r="K34" s="30">
        <f>(E34^(1/3))*Constants!B2</f>
        <v>5.3179010813937576E-15</v>
      </c>
      <c r="L34" s="24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 s="26">
        <f t="shared" si="2"/>
        <v>27.049999999999997</v>
      </c>
      <c r="AH34" s="26">
        <f t="shared" si="3"/>
        <v>1089.4296220198801</v>
      </c>
      <c r="AI34" s="26">
        <f t="shared" si="4"/>
        <v>0.11833618593143733</v>
      </c>
      <c r="AJ34" s="26">
        <f t="shared" si="5"/>
        <v>77.638642967754123</v>
      </c>
      <c r="AK34" s="28">
        <f t="shared" si="6"/>
        <v>1.9136221434154445E-10</v>
      </c>
      <c r="AL34">
        <f t="shared" si="7"/>
        <v>2.5171862235026689E-17</v>
      </c>
      <c r="AM34" s="15">
        <f t="shared" si="8"/>
        <v>0</v>
      </c>
      <c r="AN34">
        <f t="shared" si="9"/>
        <v>6.9500000000000028</v>
      </c>
      <c r="AO34" s="28">
        <f t="shared" si="10"/>
        <v>3.1433124473531378E-42</v>
      </c>
      <c r="AP34" s="28">
        <f t="shared" si="11"/>
        <v>3.1433124473531379E-30</v>
      </c>
      <c r="AQ34" s="28">
        <f t="shared" si="12"/>
        <v>1.5219217981541376E+17</v>
      </c>
      <c r="AR34" s="26">
        <f t="shared" si="13"/>
        <v>106.59684816713666</v>
      </c>
      <c r="AS34" s="26">
        <f t="shared" si="14"/>
        <v>1.9698282682040773</v>
      </c>
      <c r="AT34" s="26">
        <f t="shared" si="15"/>
        <v>31704.54910543513</v>
      </c>
      <c r="AU34" s="26">
        <f t="shared" si="16"/>
        <v>0.32127547359712122</v>
      </c>
      <c r="AV34" s="28">
        <f t="shared" si="17"/>
        <v>2.8250683404557206E-2</v>
      </c>
      <c r="AW34" s="30">
        <f t="shared" si="18"/>
        <v>10789068876670.654</v>
      </c>
      <c r="AY34">
        <v>298.14999999999998</v>
      </c>
      <c r="AZ34" s="26">
        <f t="shared" si="19"/>
        <v>3.8819315359999995E-2</v>
      </c>
    </row>
    <row r="35" spans="1:52" x14ac:dyDescent="0.3">
      <c r="A35">
        <v>35</v>
      </c>
      <c r="B35" t="s">
        <v>146</v>
      </c>
      <c r="C35" t="s">
        <v>71</v>
      </c>
      <c r="D35" t="s">
        <v>238</v>
      </c>
      <c r="E35" s="23">
        <v>81</v>
      </c>
      <c r="F35">
        <f t="shared" si="20"/>
        <v>46</v>
      </c>
      <c r="G35" s="26">
        <f t="shared" si="0"/>
        <v>81.672450299999994</v>
      </c>
      <c r="H35" s="26">
        <f>(G35-(A35*'Atomic Particles'!C1))/'Atomic Particles'!C2+A35</f>
        <v>81.018951315641715</v>
      </c>
      <c r="I35" s="26">
        <f t="shared" si="1"/>
        <v>0.27851432133894732</v>
      </c>
      <c r="J35" s="26">
        <f>(('Atomic Particles'!C1)*A35)+(('Atomic Particles'!C2)*Elements!F35)</f>
        <v>81.653334753787846</v>
      </c>
      <c r="K35" s="30">
        <f>(E35^(1/3))*Constants!B2</f>
        <v>5.4084358886527817E-15</v>
      </c>
      <c r="L35" s="24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 s="26">
        <f t="shared" si="2"/>
        <v>27.4</v>
      </c>
      <c r="AH35" s="26">
        <f t="shared" si="3"/>
        <v>1498.5914856125105</v>
      </c>
      <c r="AI35" s="26">
        <f t="shared" si="4"/>
        <v>9.0496379450414416E-2</v>
      </c>
      <c r="AJ35" s="26">
        <f t="shared" si="5"/>
        <v>81.672462762126784</v>
      </c>
      <c r="AK35" s="28">
        <f t="shared" si="6"/>
        <v>1.749957091675966E-10</v>
      </c>
      <c r="AL35">
        <f t="shared" si="7"/>
        <v>2.1050274854698358E-17</v>
      </c>
      <c r="AM35" s="15">
        <f t="shared" si="8"/>
        <v>0</v>
      </c>
      <c r="AN35">
        <f t="shared" si="9"/>
        <v>7.6000000000000014</v>
      </c>
      <c r="AO35" s="28">
        <f t="shared" si="10"/>
        <v>2.4038158212374059E-42</v>
      </c>
      <c r="AP35" s="28">
        <f t="shared" si="11"/>
        <v>2.4038158212374058E-30</v>
      </c>
      <c r="AQ35" s="28">
        <f t="shared" si="12"/>
        <v>1.765753527700625E+17</v>
      </c>
      <c r="AR35" s="26">
        <f t="shared" si="13"/>
        <v>97.480012468631557</v>
      </c>
      <c r="AS35" s="26">
        <f t="shared" si="14"/>
        <v>1.6978159935514419</v>
      </c>
      <c r="AT35" s="26">
        <f t="shared" si="15"/>
        <v>37912.214819728433</v>
      </c>
      <c r="AU35" s="26">
        <f t="shared" si="16"/>
        <v>0.30540761006162692</v>
      </c>
      <c r="AV35" s="28">
        <f t="shared" si="17"/>
        <v>2.1604419180736408E-2</v>
      </c>
      <c r="AW35" s="30">
        <f t="shared" si="18"/>
        <v>14108158451978.107</v>
      </c>
      <c r="AY35">
        <v>298.14999999999998</v>
      </c>
      <c r="AZ35" s="26">
        <f t="shared" si="19"/>
        <v>4.0836225149999988E-2</v>
      </c>
    </row>
    <row r="36" spans="1:52" x14ac:dyDescent="0.3">
      <c r="A36">
        <v>36</v>
      </c>
      <c r="B36" t="s">
        <v>147</v>
      </c>
      <c r="C36" t="s">
        <v>78</v>
      </c>
      <c r="D36" t="s">
        <v>234</v>
      </c>
      <c r="E36" s="23">
        <v>83</v>
      </c>
      <c r="F36">
        <f t="shared" si="20"/>
        <v>47</v>
      </c>
      <c r="G36" s="26">
        <f t="shared" si="0"/>
        <v>83.688939880000007</v>
      </c>
      <c r="H36" s="26">
        <f>(G36-(A36*'Atomic Particles'!C1))/'Atomic Particles'!C2+A36</f>
        <v>83.019493068217884</v>
      </c>
      <c r="I36" s="26">
        <f t="shared" si="1"/>
        <v>0.25657076874860607</v>
      </c>
      <c r="J36" s="26">
        <f>(('Atomic Particles'!C1)*A36)+(('Atomic Particles'!C2)*Elements!F36)</f>
        <v>83.669277886427636</v>
      </c>
      <c r="K36" s="30">
        <f>(E36^(1/3))*Constants!B2</f>
        <v>5.4525883393185473E-15</v>
      </c>
      <c r="L36" s="24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 s="26">
        <f t="shared" si="2"/>
        <v>27.75</v>
      </c>
      <c r="AH36" s="26">
        <f t="shared" si="3"/>
        <v>1964.2502216287128</v>
      </c>
      <c r="AI36" s="26">
        <f t="shared" si="4"/>
        <v>7.0747343256254258E-2</v>
      </c>
      <c r="AJ36" s="26">
        <f t="shared" si="5"/>
        <v>83.688952724603979</v>
      </c>
      <c r="AK36" s="28">
        <f t="shared" si="6"/>
        <v>1.6120816844530116E-10</v>
      </c>
      <c r="AL36">
        <f t="shared" si="7"/>
        <v>1.7863932056674053E-17</v>
      </c>
      <c r="AM36" s="15">
        <f t="shared" si="8"/>
        <v>0</v>
      </c>
      <c r="AN36">
        <f t="shared" si="9"/>
        <v>8.25</v>
      </c>
      <c r="AO36" s="28">
        <f t="shared" si="10"/>
        <v>1.8792307942339315E-42</v>
      </c>
      <c r="AP36" s="28">
        <f t="shared" si="11"/>
        <v>1.8792307942339314E-30</v>
      </c>
      <c r="AQ36" s="28">
        <f t="shared" si="12"/>
        <v>2.0253861935068256E+17</v>
      </c>
      <c r="AR36" s="26">
        <f t="shared" si="13"/>
        <v>89.799769062012132</v>
      </c>
      <c r="AS36" s="26">
        <f t="shared" si="14"/>
        <v>1.480174294468398</v>
      </c>
      <c r="AT36" s="26">
        <f t="shared" si="15"/>
        <v>44674.517333236923</v>
      </c>
      <c r="AU36" s="26">
        <f t="shared" si="16"/>
        <v>0.29804879700669951</v>
      </c>
      <c r="AV36" s="28">
        <f t="shared" si="17"/>
        <v>1.6889684083649416E-2</v>
      </c>
      <c r="AW36" s="30">
        <f t="shared" si="18"/>
        <v>18046433998126.355</v>
      </c>
      <c r="AY36">
        <v>298.14999999999998</v>
      </c>
      <c r="AZ36" s="26">
        <f t="shared" si="19"/>
        <v>4.1844469940000004E-2</v>
      </c>
    </row>
    <row r="37" spans="1:52" x14ac:dyDescent="0.3">
      <c r="A37">
        <v>37</v>
      </c>
      <c r="B37" t="s">
        <v>225</v>
      </c>
      <c r="C37" t="s">
        <v>4</v>
      </c>
      <c r="D37" t="s">
        <v>235</v>
      </c>
      <c r="E37" s="23">
        <v>85</v>
      </c>
      <c r="F37">
        <f t="shared" si="20"/>
        <v>48</v>
      </c>
      <c r="G37" s="26">
        <f t="shared" si="0"/>
        <v>85.705429460000005</v>
      </c>
      <c r="H37" s="26">
        <f>(G37-(A37*'Atomic Particles'!C1))/'Atomic Particles'!C2+A37</f>
        <v>85.020034820794052</v>
      </c>
      <c r="I37" s="26">
        <f t="shared" si="1"/>
        <v>0.96214038280727154</v>
      </c>
      <c r="J37" s="26">
        <f>(('Atomic Particles'!C1)*A37)+(('Atomic Particles'!C2)*Elements!F37)</f>
        <v>85.685221019067427</v>
      </c>
      <c r="K37" s="30">
        <f>(E37^(1/3))*Constants!B2</f>
        <v>5.4960370901977238E-15</v>
      </c>
      <c r="L37" s="24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 s="26">
        <f t="shared" si="2"/>
        <v>34.799999999999997</v>
      </c>
      <c r="AH37" s="26">
        <f t="shared" si="3"/>
        <v>38.145496899601511</v>
      </c>
      <c r="AI37" s="26">
        <f t="shared" si="4"/>
        <v>3.730816929529019</v>
      </c>
      <c r="AJ37" s="26">
        <f t="shared" si="5"/>
        <v>85.705442687081174</v>
      </c>
      <c r="AK37" s="28">
        <f t="shared" si="6"/>
        <v>6.0453063166987861E-10</v>
      </c>
      <c r="AL37">
        <f t="shared" si="7"/>
        <v>2.5121154454697825E-16</v>
      </c>
      <c r="AM37" s="15">
        <f t="shared" si="8"/>
        <v>0</v>
      </c>
      <c r="AN37">
        <f t="shared" si="9"/>
        <v>2.2000000000000028</v>
      </c>
      <c r="AO37" s="28">
        <f t="shared" si="10"/>
        <v>9.9100061414679601E-41</v>
      </c>
      <c r="AP37" s="28">
        <f t="shared" si="11"/>
        <v>9.9100061414679602E-29</v>
      </c>
      <c r="AQ37" s="28">
        <f t="shared" si="12"/>
        <v>2.8275517050552252E+16</v>
      </c>
      <c r="AR37" s="26">
        <f t="shared" si="13"/>
        <v>336.74913398254506</v>
      </c>
      <c r="AS37" s="26">
        <f t="shared" si="14"/>
        <v>10.60254556845123</v>
      </c>
      <c r="AT37" s="26">
        <f t="shared" si="15"/>
        <v>3176.8545659190786</v>
      </c>
      <c r="AU37" s="26">
        <f t="shared" si="16"/>
        <v>0.2910362623600346</v>
      </c>
      <c r="AV37" s="28">
        <f t="shared" si="17"/>
        <v>0.89066693409869624</v>
      </c>
      <c r="AW37" s="30">
        <f t="shared" si="18"/>
        <v>342213859520.02692</v>
      </c>
      <c r="AY37">
        <v>298.14999999999998</v>
      </c>
      <c r="AZ37" s="26">
        <f t="shared" si="19"/>
        <v>4.2852714730000005E-2</v>
      </c>
    </row>
    <row r="38" spans="1:52" x14ac:dyDescent="0.3">
      <c r="A38">
        <v>38</v>
      </c>
      <c r="B38" t="s">
        <v>148</v>
      </c>
      <c r="C38" t="s">
        <v>10</v>
      </c>
      <c r="D38" t="s">
        <v>236</v>
      </c>
      <c r="E38" s="23">
        <v>88</v>
      </c>
      <c r="F38">
        <f>E38-A38</f>
        <v>50</v>
      </c>
      <c r="G38" s="26">
        <f>(A38 * 1.007276) + (F38 * 1.008665) + (L38 * 0.00054858)</f>
        <v>88.730584039999982</v>
      </c>
      <c r="H38" s="26">
        <f>(G38-(A38*'Atomic Particles'!C1))/'Atomic Particles'!C2+A38</f>
        <v>88.020575662049851</v>
      </c>
      <c r="I38" s="26">
        <f t="shared" si="1"/>
        <v>0.74270485690385923</v>
      </c>
      <c r="J38" s="26">
        <f>(('Atomic Particles'!C1)*A38)+(('Atomic Particles'!C2)*Elements!F38)</f>
        <v>88.709830070924966</v>
      </c>
      <c r="K38" s="30">
        <f>(E38^(1/3))*Constants!B2</f>
        <v>5.5599502264232888E-15</v>
      </c>
      <c r="L38" s="24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 s="26">
        <f t="shared" si="2"/>
        <v>35.15</v>
      </c>
      <c r="AH38" s="26">
        <f t="shared" si="3"/>
        <v>85.856823942251722</v>
      </c>
      <c r="AI38" s="26">
        <f t="shared" si="4"/>
        <v>1.7160794918004496</v>
      </c>
      <c r="AJ38" s="26">
        <f t="shared" si="5"/>
        <v>88.730597565506088</v>
      </c>
      <c r="AK38" s="28">
        <f t="shared" si="6"/>
        <v>4.6665522444692403E-10</v>
      </c>
      <c r="AL38">
        <f t="shared" si="7"/>
        <v>1.4969084341118823E-16</v>
      </c>
      <c r="AM38" s="15">
        <f t="shared" si="8"/>
        <v>0</v>
      </c>
      <c r="AN38">
        <f t="shared" si="9"/>
        <v>2.8500000000000014</v>
      </c>
      <c r="AO38" s="28">
        <f t="shared" si="10"/>
        <v>4.5583470387909278E-41</v>
      </c>
      <c r="AP38" s="28">
        <f t="shared" si="11"/>
        <v>4.5583470387909276E-29</v>
      </c>
      <c r="AQ38" s="28">
        <f t="shared" si="12"/>
        <v>4.22507828549254E+16</v>
      </c>
      <c r="AR38" s="26">
        <f t="shared" si="13"/>
        <v>259.94669991635072</v>
      </c>
      <c r="AS38" s="26">
        <f t="shared" si="14"/>
        <v>7.0955480050957584</v>
      </c>
      <c r="AT38" s="26">
        <f t="shared" si="15"/>
        <v>5331.4052090243149</v>
      </c>
      <c r="AU38" s="26">
        <f t="shared" si="16"/>
        <v>0.28111375715452808</v>
      </c>
      <c r="AV38" s="28">
        <f t="shared" si="17"/>
        <v>0.40968380076063071</v>
      </c>
      <c r="AW38" s="30">
        <f t="shared" si="18"/>
        <v>743984918366.03394</v>
      </c>
      <c r="AY38">
        <v>298.14999999999998</v>
      </c>
      <c r="AZ38" s="26">
        <f t="shared" si="19"/>
        <v>4.4365292019999995E-2</v>
      </c>
    </row>
    <row r="39" spans="1:52" x14ac:dyDescent="0.3">
      <c r="A39">
        <v>39</v>
      </c>
      <c r="B39" t="s">
        <v>149</v>
      </c>
      <c r="C39" t="s">
        <v>14</v>
      </c>
      <c r="D39" t="s">
        <v>240</v>
      </c>
      <c r="E39" s="23">
        <v>89</v>
      </c>
      <c r="F39">
        <f>E39-A39</f>
        <v>50</v>
      </c>
      <c r="G39" s="26">
        <f t="shared" si="0"/>
        <v>89.738408620000001</v>
      </c>
      <c r="H39" s="26">
        <f>(G39-(A39*'Atomic Particles'!C1))/'Atomic Particles'!C2+A39</f>
        <v>89.021118325946333</v>
      </c>
      <c r="I39" s="26">
        <f t="shared" si="1"/>
        <v>0.70556961405866669</v>
      </c>
      <c r="J39" s="26">
        <f>(('Atomic Particles'!C1)*A39)+(('Atomic Particles'!C2)*Elements!F39)</f>
        <v>89.717107284346994</v>
      </c>
      <c r="K39" s="30">
        <f>(E39^(1/3))*Constants!B2</f>
        <v>5.5809313694806703E-15</v>
      </c>
      <c r="L39" s="24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 s="26">
        <f>IF(A39=1, 0, IF(A39=2, 0.3, IF(A39&lt;=10, 0.35*(N39+O39-1)+0.85*M39, IF(A39&lt;=18, 0.35*(P39+Q39-1)+0.85*(N39+O39)+M39, IF(A39&lt;=36, 0.35*(S39+T39-1)+0.85*(P39+Q39+R39)+(M39+N39+O39), IF(A39&lt;=54, 0.35*(W39+X39-1)+0.85*(S39+T39+U39)+(M39+N39+O39+P39+Q39+R39), IF(A39&lt;=86, 0.35*(AA39+AB39-1)+0.85*(W39+X39+Y39+Z39)+(M39+N39+O39+P39+Q39+R39+S39+T39+U39+V39), IF(A39&lt;=118, 0.35*(AD39+AE39-1)+0.85*(AA39+AB39+AC39)+(M39+N39+O39+P39+Q39+R39+S39+T39+U39+V39+W39+X39+Y39+Z39), 0))))))))</f>
        <v>36</v>
      </c>
      <c r="AH39" s="26">
        <f t="shared" si="3"/>
        <v>101.2765798196759</v>
      </c>
      <c r="AI39" s="26">
        <f t="shared" si="4"/>
        <v>1.4713236542824129</v>
      </c>
      <c r="AJ39" s="26">
        <f t="shared" si="5"/>
        <v>89.738422612035549</v>
      </c>
      <c r="AK39" s="28">
        <f t="shared" si="6"/>
        <v>4.4332246322457815E-10</v>
      </c>
      <c r="AL39">
        <f t="shared" si="7"/>
        <v>1.3509598617859751E-16</v>
      </c>
      <c r="AM39" s="15">
        <f t="shared" si="8"/>
        <v>0</v>
      </c>
      <c r="AN39">
        <f t="shared" si="9"/>
        <v>3</v>
      </c>
      <c r="AO39" s="28">
        <f t="shared" si="10"/>
        <v>3.9082127923833786E-41</v>
      </c>
      <c r="AP39" s="28">
        <f t="shared" si="11"/>
        <v>3.9082127923833785E-29</v>
      </c>
      <c r="AQ39" s="28">
        <f t="shared" si="12"/>
        <v>4.6226377074907912E+16</v>
      </c>
      <c r="AR39" s="26">
        <f t="shared" si="13"/>
        <v>246.94936492053336</v>
      </c>
      <c r="AS39" s="26">
        <f t="shared" si="14"/>
        <v>6.4853115682026923</v>
      </c>
      <c r="AT39" s="26">
        <f t="shared" si="15"/>
        <v>5907.3741928247182</v>
      </c>
      <c r="AU39" s="26">
        <f t="shared" si="16"/>
        <v>0.27795665465412395</v>
      </c>
      <c r="AV39" s="28">
        <f t="shared" si="17"/>
        <v>0.3512526486771464</v>
      </c>
      <c r="AW39" s="30">
        <f t="shared" si="18"/>
        <v>867747389842.28894</v>
      </c>
      <c r="AY39">
        <v>298.14999999999998</v>
      </c>
      <c r="AZ39" s="26">
        <f t="shared" si="19"/>
        <v>4.4869204310000001E-2</v>
      </c>
    </row>
    <row r="40" spans="1:52" x14ac:dyDescent="0.3">
      <c r="A40">
        <v>40</v>
      </c>
      <c r="B40" t="s">
        <v>150</v>
      </c>
      <c r="C40" t="s">
        <v>16</v>
      </c>
      <c r="D40" t="s">
        <v>240</v>
      </c>
      <c r="E40" s="23">
        <v>88</v>
      </c>
      <c r="F40">
        <f>E40-A40</f>
        <v>48</v>
      </c>
      <c r="G40" s="26">
        <f t="shared" si="0"/>
        <v>88.728903200000005</v>
      </c>
      <c r="H40" s="26">
        <f>(G40-(A40*'Atomic Particles'!C1))/'Atomic Particles'!C2+A40</f>
        <v>88.02166281248347</v>
      </c>
      <c r="I40" s="26">
        <f t="shared" si="1"/>
        <v>0.67197106100825432</v>
      </c>
      <c r="J40" s="26">
        <f>(('Atomic Particles'!C1)*A40)+(('Atomic Particles'!C2)*Elements!F40)</f>
        <v>88.707052659333527</v>
      </c>
      <c r="K40" s="30">
        <f>(E40^(1/3))*Constants!B2</f>
        <v>5.5599502264232888E-15</v>
      </c>
      <c r="L40" s="24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 s="26">
        <f t="shared" si="2"/>
        <v>36.85</v>
      </c>
      <c r="AH40" s="26">
        <f t="shared" si="3"/>
        <v>115.92141484500291</v>
      </c>
      <c r="AI40" s="26">
        <f t="shared" si="4"/>
        <v>1.2709846921778771</v>
      </c>
      <c r="AJ40" s="26">
        <f t="shared" si="5"/>
        <v>88.728917826669573</v>
      </c>
      <c r="AK40" s="28">
        <f t="shared" si="6"/>
        <v>4.2221186973769373E-10</v>
      </c>
      <c r="AL40">
        <f t="shared" si="7"/>
        <v>1.2253604188534937E-16</v>
      </c>
      <c r="AM40" s="15">
        <f t="shared" si="8"/>
        <v>0</v>
      </c>
      <c r="AN40">
        <f t="shared" si="9"/>
        <v>3.1499999999999986</v>
      </c>
      <c r="AO40" s="28">
        <f t="shared" si="10"/>
        <v>3.3760611531224582E-41</v>
      </c>
      <c r="AP40" s="28">
        <f t="shared" si="11"/>
        <v>3.3760611531224579E-29</v>
      </c>
      <c r="AQ40" s="28">
        <f t="shared" si="12"/>
        <v>5.036994751518596E+16</v>
      </c>
      <c r="AR40" s="26">
        <f t="shared" si="13"/>
        <v>235.18987135288901</v>
      </c>
      <c r="AS40" s="26">
        <f t="shared" si="14"/>
        <v>5.9518119988037714</v>
      </c>
      <c r="AT40" s="26">
        <f t="shared" si="15"/>
        <v>6512.8800475892449</v>
      </c>
      <c r="AU40" s="26">
        <f t="shared" si="16"/>
        <v>0.28111908244573003</v>
      </c>
      <c r="AV40" s="28">
        <f t="shared" si="17"/>
        <v>0.30342524451108693</v>
      </c>
      <c r="AW40" s="30">
        <f t="shared" si="18"/>
        <v>1004526072166.1783</v>
      </c>
      <c r="AY40">
        <v>298.14999999999998</v>
      </c>
      <c r="AZ40" s="26">
        <f t="shared" si="19"/>
        <v>4.43644516E-2</v>
      </c>
    </row>
    <row r="41" spans="1:52" x14ac:dyDescent="0.3">
      <c r="A41">
        <v>41</v>
      </c>
      <c r="B41" t="s">
        <v>151</v>
      </c>
      <c r="C41" t="s">
        <v>21</v>
      </c>
      <c r="D41" t="s">
        <v>240</v>
      </c>
      <c r="E41" s="23">
        <v>93</v>
      </c>
      <c r="F41">
        <f t="shared" si="20"/>
        <v>52</v>
      </c>
      <c r="G41" s="26">
        <f t="shared" si="0"/>
        <v>93.771387779999998</v>
      </c>
      <c r="H41" s="26">
        <f>(G41-(A41*'Atomic Particles'!C1))/'Atomic Particles'!C2+A41</f>
        <v>93.022201831098641</v>
      </c>
      <c r="I41" s="26">
        <f t="shared" si="1"/>
        <v>0.75596744363428647</v>
      </c>
      <c r="J41" s="26">
        <f>(('Atomic Particles'!C1)*A41)+(('Atomic Particles'!C2)*Elements!F41)</f>
        <v>93.748993549626576</v>
      </c>
      <c r="K41" s="30">
        <f>(E41^(1/3))*Constants!B2</f>
        <v>5.6633186201043664E-15</v>
      </c>
      <c r="L41" s="24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 s="26">
        <f t="shared" si="2"/>
        <v>38.200000000000003</v>
      </c>
      <c r="AH41" s="26">
        <f t="shared" si="3"/>
        <v>86.042166290975487</v>
      </c>
      <c r="AI41" s="26">
        <f t="shared" si="4"/>
        <v>1.8096637511673317</v>
      </c>
      <c r="AJ41" s="26">
        <f t="shared" si="5"/>
        <v>93.771402536989953</v>
      </c>
      <c r="AK41" s="28">
        <f t="shared" si="6"/>
        <v>4.7498835345490566E-10</v>
      </c>
      <c r="AL41">
        <f t="shared" si="7"/>
        <v>1.5508467801114542E-16</v>
      </c>
      <c r="AM41" s="15">
        <f t="shared" si="8"/>
        <v>0</v>
      </c>
      <c r="AN41">
        <f t="shared" si="9"/>
        <v>2.7999999999999972</v>
      </c>
      <c r="AO41" s="28">
        <f t="shared" si="10"/>
        <v>4.8069308215356929E-41</v>
      </c>
      <c r="AP41" s="28">
        <f t="shared" si="11"/>
        <v>4.8069308215356927E-29</v>
      </c>
      <c r="AQ41" s="28">
        <f t="shared" si="12"/>
        <v>4.2737060473425392E+16</v>
      </c>
      <c r="AR41" s="26">
        <f t="shared" si="13"/>
        <v>264.58860527200028</v>
      </c>
      <c r="AS41" s="26">
        <f t="shared" si="14"/>
        <v>7.0148123122884387</v>
      </c>
      <c r="AT41" s="26">
        <f t="shared" si="15"/>
        <v>5145.9792968606325</v>
      </c>
      <c r="AU41" s="26">
        <f t="shared" si="16"/>
        <v>0.26600211903145199</v>
      </c>
      <c r="AV41" s="28">
        <f t="shared" si="17"/>
        <v>0.43202539696988795</v>
      </c>
      <c r="AW41" s="30">
        <f t="shared" si="18"/>
        <v>705510766733.99524</v>
      </c>
      <c r="AY41">
        <v>298.14999999999998</v>
      </c>
      <c r="AZ41" s="26">
        <f t="shared" si="19"/>
        <v>4.6885693890000003E-2</v>
      </c>
    </row>
    <row r="42" spans="1:52" x14ac:dyDescent="0.3">
      <c r="A42">
        <v>42</v>
      </c>
      <c r="B42" t="s">
        <v>494</v>
      </c>
      <c r="C42" t="s">
        <v>24</v>
      </c>
      <c r="D42" t="s">
        <v>240</v>
      </c>
      <c r="E42" s="23">
        <v>95</v>
      </c>
      <c r="F42">
        <f t="shared" si="20"/>
        <v>53</v>
      </c>
      <c r="G42" s="26">
        <f t="shared" si="0"/>
        <v>95.787877359999996</v>
      </c>
      <c r="H42" s="26">
        <f>(G42-(A42*'Atomic Particles'!C1))/'Atomic Particles'!C2+A42</f>
        <v>95.022743583674782</v>
      </c>
      <c r="I42" s="26">
        <f t="shared" si="1"/>
        <v>0.71752842107660941</v>
      </c>
      <c r="J42" s="26">
        <f>(('Atomic Particles'!C1)*A42)+(('Atomic Particles'!C2)*Elements!F42)</f>
        <v>95.764936682266352</v>
      </c>
      <c r="K42" s="30">
        <f>(E42^(1/3))*Constants!B2</f>
        <v>5.7036282942337079E-15</v>
      </c>
      <c r="L42" s="24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 s="26">
        <f t="shared" si="2"/>
        <v>39.049999999999997</v>
      </c>
      <c r="AH42" s="26">
        <f t="shared" si="3"/>
        <v>102.78825566643644</v>
      </c>
      <c r="AI42" s="26">
        <f t="shared" si="4"/>
        <v>1.5474119034808824</v>
      </c>
      <c r="AJ42" s="26">
        <f t="shared" si="5"/>
        <v>95.787892499467148</v>
      </c>
      <c r="AK42" s="28">
        <f t="shared" si="6"/>
        <v>4.508364032792315E-10</v>
      </c>
      <c r="AL42">
        <f t="shared" si="7"/>
        <v>1.3971432066732263E-16</v>
      </c>
      <c r="AM42" s="15">
        <f t="shared" si="8"/>
        <v>0</v>
      </c>
      <c r="AN42">
        <f t="shared" si="9"/>
        <v>2.9500000000000028</v>
      </c>
      <c r="AO42" s="28">
        <f t="shared" si="10"/>
        <v>4.110322687104363E-41</v>
      </c>
      <c r="AP42" s="28">
        <f t="shared" si="11"/>
        <v>4.110322687104363E-29</v>
      </c>
      <c r="AQ42" s="28">
        <f t="shared" si="12"/>
        <v>4.6777105107937992E+16</v>
      </c>
      <c r="AR42" s="26">
        <f t="shared" si="13"/>
        <v>251.1349473768133</v>
      </c>
      <c r="AS42" s="26">
        <f t="shared" si="14"/>
        <v>6.4089570594039547</v>
      </c>
      <c r="AT42" s="26">
        <f t="shared" si="15"/>
        <v>5712.1026570063568</v>
      </c>
      <c r="AU42" s="26">
        <f t="shared" si="16"/>
        <v>0.26040234465427348</v>
      </c>
      <c r="AV42" s="28">
        <f t="shared" si="17"/>
        <v>0.36941738013264924</v>
      </c>
      <c r="AW42" s="30">
        <f t="shared" si="18"/>
        <v>825079125826.0188</v>
      </c>
      <c r="AY42">
        <v>298.14999999999998</v>
      </c>
      <c r="AZ42" s="26">
        <f t="shared" si="19"/>
        <v>4.7893938680000005E-2</v>
      </c>
    </row>
    <row r="43" spans="1:52" x14ac:dyDescent="0.3">
      <c r="A43">
        <v>43</v>
      </c>
      <c r="B43" t="s">
        <v>152</v>
      </c>
      <c r="C43" t="s">
        <v>29</v>
      </c>
      <c r="D43" t="s">
        <v>240</v>
      </c>
      <c r="E43" s="23">
        <v>97</v>
      </c>
      <c r="F43">
        <f t="shared" si="20"/>
        <v>54</v>
      </c>
      <c r="G43" s="26">
        <f t="shared" si="0"/>
        <v>97.804366939999994</v>
      </c>
      <c r="H43" s="26">
        <f>(G43-(A43*'Atomic Particles'!C1))/'Atomic Particles'!C2+A43</f>
        <v>97.023285336250936</v>
      </c>
      <c r="I43" s="26">
        <f t="shared" si="1"/>
        <v>0.58797467838222206</v>
      </c>
      <c r="J43" s="26">
        <f>(('Atomic Particles'!C1)*A43)+(('Atomic Particles'!C2)*Elements!F43)</f>
        <v>97.780879814906143</v>
      </c>
      <c r="K43" s="30">
        <f>(E43^(1/3))*Constants!B2</f>
        <v>5.743376115258799E-15</v>
      </c>
      <c r="L43" s="24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 s="26">
        <f t="shared" si="2"/>
        <v>39.4</v>
      </c>
      <c r="AH43" s="26">
        <f t="shared" si="3"/>
        <v>190.73598975743874</v>
      </c>
      <c r="AI43" s="26">
        <f t="shared" si="4"/>
        <v>0.85146044808009924</v>
      </c>
      <c r="AJ43" s="26">
        <f t="shared" si="5"/>
        <v>97.804382461944328</v>
      </c>
      <c r="AK43" s="28">
        <f t="shared" si="6"/>
        <v>3.6943538602048164E-10</v>
      </c>
      <c r="AL43">
        <f t="shared" si="7"/>
        <v>9.3816657068470441E-17</v>
      </c>
      <c r="AM43" s="15">
        <f t="shared" si="8"/>
        <v>0</v>
      </c>
      <c r="AN43">
        <f t="shared" si="9"/>
        <v>3.6000000000000014</v>
      </c>
      <c r="AO43" s="28">
        <f t="shared" si="10"/>
        <v>2.2616972178144531E-41</v>
      </c>
      <c r="AP43" s="28">
        <f t="shared" si="11"/>
        <v>2.261697217814453E-29</v>
      </c>
      <c r="AQ43" s="28">
        <f t="shared" si="12"/>
        <v>6.3806313140325104E+16</v>
      </c>
      <c r="AR43" s="26">
        <f t="shared" si="13"/>
        <v>205.79113743377772</v>
      </c>
      <c r="AS43" s="26">
        <f t="shared" si="14"/>
        <v>4.6984764241225756</v>
      </c>
      <c r="AT43" s="26">
        <f t="shared" si="15"/>
        <v>8506.6188376676</v>
      </c>
      <c r="AU43" s="26">
        <f t="shared" si="16"/>
        <v>0.25503347789472436</v>
      </c>
      <c r="AV43" s="28">
        <f t="shared" si="17"/>
        <v>0.20327120872520027</v>
      </c>
      <c r="AW43" s="30">
        <f t="shared" si="18"/>
        <v>1499467489647.4771</v>
      </c>
      <c r="AY43">
        <v>298.14999999999998</v>
      </c>
      <c r="AZ43" s="26">
        <f t="shared" si="19"/>
        <v>4.8902183469999999E-2</v>
      </c>
    </row>
    <row r="44" spans="1:52" x14ac:dyDescent="0.3">
      <c r="A44">
        <v>44</v>
      </c>
      <c r="B44" t="s">
        <v>153</v>
      </c>
      <c r="C44" t="s">
        <v>32</v>
      </c>
      <c r="D44" t="s">
        <v>240</v>
      </c>
      <c r="E44" s="23">
        <v>101</v>
      </c>
      <c r="F44">
        <f t="shared" si="20"/>
        <v>57</v>
      </c>
      <c r="G44" s="26">
        <f t="shared" si="0"/>
        <v>101.83818651999999</v>
      </c>
      <c r="H44" s="26">
        <f>(G44-(A44*'Atomic Particles'!C1))/'Atomic Particles'!C2+A44</f>
        <v>101.02382526618644</v>
      </c>
      <c r="I44" s="26">
        <f t="shared" si="1"/>
        <v>0.65129502836184616</v>
      </c>
      <c r="J44" s="26">
        <f>(('Atomic Particles'!C1)*A44)+(('Atomic Particles'!C2)*Elements!F44)</f>
        <v>101.81415478598143</v>
      </c>
      <c r="K44" s="30">
        <f>(E44^(1/3))*Constants!B2</f>
        <v>5.8212618847547935E-15</v>
      </c>
      <c r="L44" s="24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 s="26">
        <f t="shared" si="2"/>
        <v>40.75</v>
      </c>
      <c r="AH44" s="26">
        <f t="shared" si="3"/>
        <v>146.12604790733042</v>
      </c>
      <c r="AI44" s="26">
        <f t="shared" si="4"/>
        <v>1.1572359010468865</v>
      </c>
      <c r="AJ44" s="26">
        <f t="shared" si="5"/>
        <v>101.83820225631699</v>
      </c>
      <c r="AK44" s="28">
        <f t="shared" si="6"/>
        <v>4.0922073528422601E-10</v>
      </c>
      <c r="AL44">
        <f t="shared" si="7"/>
        <v>1.1511137283856831E-16</v>
      </c>
      <c r="AM44" s="15">
        <f t="shared" si="8"/>
        <v>0</v>
      </c>
      <c r="AN44">
        <f t="shared" si="9"/>
        <v>3.25</v>
      </c>
      <c r="AO44" s="28">
        <f t="shared" si="10"/>
        <v>3.0739152049333089E-41</v>
      </c>
      <c r="AP44" s="28">
        <f>AO44 * 10^12</f>
        <v>3.0739152049333088E-29</v>
      </c>
      <c r="AQ44" s="28">
        <f t="shared" si="12"/>
        <v>5.536394795206748E+16</v>
      </c>
      <c r="AR44" s="26">
        <f t="shared" si="13"/>
        <v>227.95325992664615</v>
      </c>
      <c r="AS44" s="26">
        <f t="shared" si="14"/>
        <v>5.4149400302802055</v>
      </c>
      <c r="AT44" s="26">
        <f t="shared" si="15"/>
        <v>6932.9599901901202</v>
      </c>
      <c r="AU44" s="26">
        <f t="shared" si="16"/>
        <v>0.24493157926669651</v>
      </c>
      <c r="AV44" s="28">
        <f t="shared" si="17"/>
        <v>0.27626972094406421</v>
      </c>
      <c r="AW44" s="30">
        <f t="shared" si="18"/>
        <v>1103264476552.9563</v>
      </c>
      <c r="AY44">
        <v>298.14999999999998</v>
      </c>
      <c r="AZ44" s="26">
        <f t="shared" si="19"/>
        <v>5.0919093259999992E-2</v>
      </c>
    </row>
    <row r="45" spans="1:52" x14ac:dyDescent="0.3">
      <c r="A45">
        <v>45</v>
      </c>
      <c r="B45" t="s">
        <v>154</v>
      </c>
      <c r="C45" t="s">
        <v>37</v>
      </c>
      <c r="D45" t="s">
        <v>240</v>
      </c>
      <c r="E45" s="23">
        <v>103</v>
      </c>
      <c r="F45">
        <f t="shared" si="20"/>
        <v>58</v>
      </c>
      <c r="G45" s="26">
        <f t="shared" si="0"/>
        <v>103.85467610000001</v>
      </c>
      <c r="H45" s="26">
        <f>(G45-(A45*'Atomic Particles'!C1))/'Atomic Particles'!C2+A45</f>
        <v>103.0243670187626</v>
      </c>
      <c r="I45" s="26">
        <f t="shared" si="1"/>
        <v>0.62256142416941207</v>
      </c>
      <c r="J45" s="26">
        <f>(('Atomic Particles'!C1)*A45)+(('Atomic Particles'!C2)*Elements!F45)</f>
        <v>103.83009791862122</v>
      </c>
      <c r="K45" s="30">
        <f>(E45^(1/3))*Constants!B2</f>
        <v>5.8594351845669979E-15</v>
      </c>
      <c r="L45" s="24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 s="26">
        <f t="shared" si="2"/>
        <v>41.6</v>
      </c>
      <c r="AH45" s="26">
        <f>(G45 * 1.6605E-24) / (AI45 * 1E-24)</f>
        <v>170.61990876008173</v>
      </c>
      <c r="AI45" s="26">
        <f t="shared" si="4"/>
        <v>1.0107301716269388</v>
      </c>
      <c r="AJ45" s="26">
        <f t="shared" si="5"/>
        <v>103.85469221879416</v>
      </c>
      <c r="AK45" s="28">
        <f t="shared" si="6"/>
        <v>3.9116687931580445E-10</v>
      </c>
      <c r="AL45">
        <f t="shared" si="7"/>
        <v>1.0517853595219541E-16</v>
      </c>
      <c r="AM45" s="15">
        <f t="shared" si="8"/>
        <v>0</v>
      </c>
      <c r="AN45">
        <f t="shared" si="9"/>
        <v>3.3999999999999986</v>
      </c>
      <c r="AO45" s="28">
        <f t="shared" si="10"/>
        <v>2.6847584315680695E-41</v>
      </c>
      <c r="AP45" s="28">
        <f t="shared" si="11"/>
        <v>2.6847584315680697E-29</v>
      </c>
      <c r="AQ45" s="28">
        <f t="shared" si="12"/>
        <v>5.9910135856901672E+16</v>
      </c>
      <c r="AR45" s="26">
        <f t="shared" si="13"/>
        <v>217.89649845929424</v>
      </c>
      <c r="AS45" s="26">
        <f t="shared" si="14"/>
        <v>5.0040356896547378</v>
      </c>
      <c r="AT45" s="26">
        <f t="shared" si="15"/>
        <v>7587.6939632281856</v>
      </c>
      <c r="AU45" s="26">
        <f t="shared" si="16"/>
        <v>0.24017587643316524</v>
      </c>
      <c r="AV45" s="28">
        <f t="shared" si="17"/>
        <v>0.24129405440369855</v>
      </c>
      <c r="AW45" s="30">
        <f t="shared" si="18"/>
        <v>1263183089272.6399</v>
      </c>
      <c r="AY45">
        <v>298.14999999999998</v>
      </c>
      <c r="AZ45" s="26">
        <f t="shared" si="19"/>
        <v>5.1927338050000008E-2</v>
      </c>
    </row>
    <row r="46" spans="1:52" x14ac:dyDescent="0.3">
      <c r="A46">
        <v>46</v>
      </c>
      <c r="B46" t="s">
        <v>155</v>
      </c>
      <c r="C46" t="s">
        <v>40</v>
      </c>
      <c r="D46" t="s">
        <v>240</v>
      </c>
      <c r="E46" s="23">
        <v>105</v>
      </c>
      <c r="F46">
        <f t="shared" si="20"/>
        <v>59</v>
      </c>
      <c r="G46" s="26">
        <f t="shared" si="0"/>
        <v>105.87116567999999</v>
      </c>
      <c r="H46" s="26">
        <f>(G46-(A46*'Atomic Particles'!C1))/'Atomic Particles'!C2+A46</f>
        <v>105.02490877133874</v>
      </c>
      <c r="I46" s="26">
        <f t="shared" si="1"/>
        <v>0.69400289907409907</v>
      </c>
      <c r="J46" s="26">
        <f>(('Atomic Particles'!C1)*A46)+(('Atomic Particles'!C2)*Elements!F46)</f>
        <v>105.84604105126101</v>
      </c>
      <c r="K46" s="30">
        <f>(E46^(1/3))*Constants!B2</f>
        <v>5.8971174753956653E-15</v>
      </c>
      <c r="L46" s="24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 s="26">
        <f t="shared" si="2"/>
        <v>42.95</v>
      </c>
      <c r="AH46" s="26">
        <f t="shared" si="3"/>
        <v>125.55791971034142</v>
      </c>
      <c r="AI46" s="26">
        <f t="shared" si="4"/>
        <v>1.4001432248734569</v>
      </c>
      <c r="AJ46" s="26">
        <f t="shared" si="5"/>
        <v>105.87118218127138</v>
      </c>
      <c r="AK46" s="28">
        <f t="shared" si="6"/>
        <v>4.3605488186024124E-10</v>
      </c>
      <c r="AL46">
        <f t="shared" si="7"/>
        <v>1.3070291594811933E-16</v>
      </c>
      <c r="AM46" s="15">
        <f t="shared" si="8"/>
        <v>0</v>
      </c>
      <c r="AN46">
        <f t="shared" si="9"/>
        <v>3.0499999999999972</v>
      </c>
      <c r="AO46" s="28">
        <f t="shared" si="10"/>
        <v>3.7191393251188967E-41</v>
      </c>
      <c r="AP46" s="28">
        <f t="shared" si="11"/>
        <v>3.7191393251188969E-29</v>
      </c>
      <c r="AQ46" s="28">
        <f t="shared" si="12"/>
        <v>5.1464095801507608E+16</v>
      </c>
      <c r="AR46" s="26">
        <f t="shared" si="13"/>
        <v>242.90101467593468</v>
      </c>
      <c r="AS46" s="26">
        <f t="shared" si="14"/>
        <v>5.8252739765655761</v>
      </c>
      <c r="AT46" s="26">
        <f t="shared" si="15"/>
        <v>6105.9276031946483</v>
      </c>
      <c r="AU46" s="26">
        <f t="shared" si="16"/>
        <v>0.23560133388341478</v>
      </c>
      <c r="AV46" s="28">
        <f t="shared" si="17"/>
        <v>0.33425957289052316</v>
      </c>
      <c r="AW46" s="30">
        <f t="shared" si="18"/>
        <v>911861899508.29651</v>
      </c>
      <c r="AY46">
        <v>298.14999999999998</v>
      </c>
      <c r="AZ46" s="26">
        <f t="shared" si="19"/>
        <v>5.2935582839999995E-2</v>
      </c>
    </row>
    <row r="47" spans="1:52" x14ac:dyDescent="0.3">
      <c r="A47">
        <v>47</v>
      </c>
      <c r="B47" t="s">
        <v>156</v>
      </c>
      <c r="C47" t="s">
        <v>45</v>
      </c>
      <c r="D47" t="s">
        <v>240</v>
      </c>
      <c r="E47" s="23">
        <v>109</v>
      </c>
      <c r="F47">
        <f t="shared" si="20"/>
        <v>62</v>
      </c>
      <c r="G47" s="26">
        <f t="shared" si="0"/>
        <v>109.90498525999999</v>
      </c>
      <c r="H47" s="26">
        <f>(G47-(A47*'Atomic Particles'!C1))/'Atomic Particles'!C2+A47</f>
        <v>109.02544870127424</v>
      </c>
      <c r="I47" s="26">
        <f t="shared" si="1"/>
        <v>0.57208347085837796</v>
      </c>
      <c r="J47" s="26">
        <f>(('Atomic Particles'!C1)*A47)+(('Atomic Particles'!C2)*Elements!F47)</f>
        <v>109.87931602233631</v>
      </c>
      <c r="K47" s="30">
        <f>(E47^(1/3))*Constants!B2</f>
        <v>5.9710702262937699E-15</v>
      </c>
      <c r="L47" s="24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 s="26">
        <f t="shared" si="2"/>
        <v>43.3</v>
      </c>
      <c r="AH47" s="26">
        <f t="shared" si="3"/>
        <v>232.69629216763298</v>
      </c>
      <c r="AI47" s="26">
        <f t="shared" si="4"/>
        <v>0.78427217865921184</v>
      </c>
      <c r="AJ47" s="26">
        <f t="shared" si="5"/>
        <v>109.90500197564401</v>
      </c>
      <c r="AK47" s="28">
        <f t="shared" si="6"/>
        <v>3.5945064585776578E-10</v>
      </c>
      <c r="AL47">
        <f t="shared" si="7"/>
        <v>8.8814015749260469E-17</v>
      </c>
      <c r="AM47" s="15">
        <f t="shared" si="8"/>
        <v>0</v>
      </c>
      <c r="AN47">
        <f t="shared" si="9"/>
        <v>3.7000000000000028</v>
      </c>
      <c r="AO47" s="28">
        <f t="shared" si="10"/>
        <v>2.0832279508489326E-41</v>
      </c>
      <c r="AP47" s="28">
        <f t="shared" si="11"/>
        <v>2.0832279508489327E-29</v>
      </c>
      <c r="AQ47" s="28">
        <f t="shared" si="12"/>
        <v>6.9506782781588016E+16</v>
      </c>
      <c r="AR47" s="26">
        <f t="shared" si="13"/>
        <v>200.22921480043229</v>
      </c>
      <c r="AS47" s="26">
        <f t="shared" si="14"/>
        <v>4.3131396103030895</v>
      </c>
      <c r="AT47" s="26">
        <f t="shared" si="15"/>
        <v>8985.772522196723</v>
      </c>
      <c r="AU47" s="26">
        <f t="shared" si="16"/>
        <v>0.22695410763207816</v>
      </c>
      <c r="AV47" s="28">
        <f t="shared" si="17"/>
        <v>0.18723119093208557</v>
      </c>
      <c r="AW47" s="30">
        <f t="shared" si="18"/>
        <v>1627926242136.3545</v>
      </c>
      <c r="AY47">
        <v>298.14999999999998</v>
      </c>
      <c r="AZ47" s="26">
        <f t="shared" si="19"/>
        <v>5.4952492629999995E-2</v>
      </c>
    </row>
    <row r="48" spans="1:52" x14ac:dyDescent="0.3">
      <c r="A48">
        <v>48</v>
      </c>
      <c r="B48" t="s">
        <v>157</v>
      </c>
      <c r="C48" t="s">
        <v>48</v>
      </c>
      <c r="D48" t="s">
        <v>240</v>
      </c>
      <c r="E48" s="23">
        <v>111</v>
      </c>
      <c r="F48">
        <f t="shared" si="20"/>
        <v>63</v>
      </c>
      <c r="G48" s="26">
        <f t="shared" si="0"/>
        <v>111.92147483999999</v>
      </c>
      <c r="H48" s="26">
        <f>(G48-(A48*'Atomic Particles'!C1))/'Atomic Particles'!C2+A48</f>
        <v>111.0259904538504</v>
      </c>
      <c r="I48" s="26">
        <f t="shared" si="1"/>
        <v>0.48659973383356303</v>
      </c>
      <c r="J48" s="26">
        <f>(('Atomic Particles'!C1)*A48)+(('Atomic Particles'!C2)*Elements!F48)</f>
        <v>111.89525915497609</v>
      </c>
      <c r="K48" s="30">
        <f>(E48^(1/3))*Constants!B2</f>
        <v>6.007369417131666E-15</v>
      </c>
      <c r="L48" s="24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 s="26">
        <f t="shared" si="2"/>
        <v>43.65</v>
      </c>
      <c r="AH48" s="26">
        <f t="shared" si="3"/>
        <v>385.07745593748513</v>
      </c>
      <c r="AI48" s="26">
        <f t="shared" si="4"/>
        <v>0.4826187721620111</v>
      </c>
      <c r="AJ48" s="26">
        <f t="shared" si="5"/>
        <v>111.92149193812121</v>
      </c>
      <c r="AK48" s="28">
        <f t="shared" si="6"/>
        <v>3.0573962981005377E-10</v>
      </c>
      <c r="AL48">
        <f t="shared" si="7"/>
        <v>6.4254928027870364E-17</v>
      </c>
      <c r="AM48" s="15">
        <f t="shared" si="8"/>
        <v>0</v>
      </c>
      <c r="AN48">
        <f t="shared" si="9"/>
        <v>4.3500000000000014</v>
      </c>
      <c r="AO48" s="28">
        <f t="shared" si="10"/>
        <v>1.2819591758197136E-41</v>
      </c>
      <c r="AP48" s="28">
        <f t="shared" si="11"/>
        <v>1.2819591758197135E-29</v>
      </c>
      <c r="AQ48" s="28">
        <f t="shared" si="12"/>
        <v>8.954269803755784E+16</v>
      </c>
      <c r="AR48" s="26">
        <f t="shared" si="13"/>
        <v>170.30990684174705</v>
      </c>
      <c r="AS48" s="26">
        <f t="shared" si="14"/>
        <v>3.3480391430047693</v>
      </c>
      <c r="AT48" s="26">
        <f t="shared" si="15"/>
        <v>12420.254240413977</v>
      </c>
      <c r="AU48" s="26">
        <f t="shared" si="16"/>
        <v>0.22286507472903136</v>
      </c>
      <c r="AV48" s="28">
        <f t="shared" si="17"/>
        <v>0.11521674482008971</v>
      </c>
      <c r="AW48" s="30">
        <f t="shared" si="18"/>
        <v>2645436386357.9517</v>
      </c>
      <c r="AY48">
        <v>298.14999999999998</v>
      </c>
      <c r="AZ48" s="26">
        <f t="shared" si="19"/>
        <v>5.5960737419999997E-2</v>
      </c>
    </row>
    <row r="49" spans="1:52" x14ac:dyDescent="0.3">
      <c r="A49">
        <v>49</v>
      </c>
      <c r="B49" t="s">
        <v>158</v>
      </c>
      <c r="C49" t="s">
        <v>54</v>
      </c>
      <c r="D49" t="s">
        <v>239</v>
      </c>
      <c r="E49" s="23">
        <v>115</v>
      </c>
      <c r="F49">
        <f t="shared" si="20"/>
        <v>66</v>
      </c>
      <c r="G49" s="26">
        <f t="shared" si="0"/>
        <v>115.95529442</v>
      </c>
      <c r="H49" s="26">
        <f>(G49-(A49*'Atomic Particles'!C1))/'Atomic Particles'!C2+A49</f>
        <v>115.02653038378591</v>
      </c>
      <c r="I49" s="26">
        <f t="shared" si="1"/>
        <v>0.42334176843520005</v>
      </c>
      <c r="J49" s="26">
        <f>(('Atomic Particles'!C1)*A49)+(('Atomic Particles'!C2)*Elements!F49)</f>
        <v>115.9285341260514</v>
      </c>
      <c r="K49" s="30">
        <f>(E49^(1/3))*Constants!B2</f>
        <v>6.0786801638678501E-15</v>
      </c>
      <c r="L49" s="24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 s="26">
        <f t="shared" si="2"/>
        <v>44</v>
      </c>
      <c r="AH49" s="26">
        <f t="shared" si="3"/>
        <v>605.85332347457063</v>
      </c>
      <c r="AI49" s="26">
        <f t="shared" si="4"/>
        <v>0.31780590932500125</v>
      </c>
      <c r="AJ49" s="26">
        <f t="shared" si="5"/>
        <v>115.95531173249385</v>
      </c>
      <c r="AK49" s="28">
        <f t="shared" si="6"/>
        <v>2.6599347793474691E-10</v>
      </c>
      <c r="AL49">
        <f t="shared" si="7"/>
        <v>4.8634555024295111E-17</v>
      </c>
      <c r="AM49" s="15">
        <f t="shared" si="8"/>
        <v>0</v>
      </c>
      <c r="AN49">
        <f t="shared" si="9"/>
        <v>5</v>
      </c>
      <c r="AO49" s="28">
        <f t="shared" si="10"/>
        <v>8.4417396315480997E-42</v>
      </c>
      <c r="AP49" s="28">
        <f t="shared" si="11"/>
        <v>8.4417396315481003E-30</v>
      </c>
      <c r="AQ49" s="28">
        <f t="shared" si="12"/>
        <v>1.1148815244596694E+17</v>
      </c>
      <c r="AR49" s="26">
        <f t="shared" si="13"/>
        <v>148.16961895232001</v>
      </c>
      <c r="AS49" s="26">
        <f t="shared" si="14"/>
        <v>2.689007319816294</v>
      </c>
      <c r="AT49" s="26">
        <f t="shared" si="15"/>
        <v>16409.372757846435</v>
      </c>
      <c r="AU49" s="26">
        <f t="shared" si="16"/>
        <v>0.21511210832385899</v>
      </c>
      <c r="AV49" s="28">
        <f t="shared" si="17"/>
        <v>7.5870572114263637E-2</v>
      </c>
      <c r="AW49" s="30">
        <f t="shared" si="18"/>
        <v>4017349027047.6338</v>
      </c>
      <c r="AY49">
        <v>298.14999999999998</v>
      </c>
      <c r="AZ49" s="26">
        <f t="shared" si="19"/>
        <v>5.7977647209999997E-2</v>
      </c>
    </row>
    <row r="50" spans="1:52" x14ac:dyDescent="0.3">
      <c r="A50">
        <v>50</v>
      </c>
      <c r="B50" t="s">
        <v>159</v>
      </c>
      <c r="C50" t="s">
        <v>58</v>
      </c>
      <c r="D50" t="s">
        <v>239</v>
      </c>
      <c r="E50" s="23">
        <v>117</v>
      </c>
      <c r="F50">
        <f t="shared" si="20"/>
        <v>67</v>
      </c>
      <c r="G50" s="26">
        <f t="shared" si="0"/>
        <v>117.971784</v>
      </c>
      <c r="H50" s="26">
        <f>(G50-(A50*'Atomic Particles'!C1))/'Atomic Particles'!C2+A50</f>
        <v>117.02707213636205</v>
      </c>
      <c r="I50" s="26">
        <f t="shared" si="1"/>
        <v>0.37463873312849522</v>
      </c>
      <c r="J50" s="26">
        <f>(('Atomic Particles'!C1)*A50)+(('Atomic Particles'!C2)*Elements!F50)</f>
        <v>117.94447725869118</v>
      </c>
      <c r="K50" s="30">
        <f>(E50^(1/3))*Constants!B2</f>
        <v>6.1137165581359352E-15</v>
      </c>
      <c r="L50" s="24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 s="26">
        <f t="shared" si="2"/>
        <v>44.349999999999994</v>
      </c>
      <c r="AH50" s="26">
        <f t="shared" si="3"/>
        <v>889.38620527615831</v>
      </c>
      <c r="AI50" s="26">
        <f t="shared" si="4"/>
        <v>0.22025543703050202</v>
      </c>
      <c r="AJ50" s="26">
        <f t="shared" si="5"/>
        <v>117.97180169497103</v>
      </c>
      <c r="AK50" s="28">
        <f t="shared" si="6"/>
        <v>2.3539245834933332E-10</v>
      </c>
      <c r="AL50">
        <f t="shared" si="7"/>
        <v>3.8087990464637019E-17</v>
      </c>
      <c r="AM50" s="15">
        <f t="shared" si="8"/>
        <v>0</v>
      </c>
      <c r="AN50">
        <f t="shared" si="9"/>
        <v>5.6500000000000057</v>
      </c>
      <c r="AO50" s="28">
        <f t="shared" si="10"/>
        <v>5.850549021550446E-42</v>
      </c>
      <c r="AP50" s="28">
        <f t="shared" si="11"/>
        <v>5.8505490215504459E-30</v>
      </c>
      <c r="AQ50" s="28">
        <f t="shared" si="12"/>
        <v>1.3527992252779371E+17</v>
      </c>
      <c r="AR50" s="26">
        <f t="shared" si="13"/>
        <v>131.12355659497334</v>
      </c>
      <c r="AS50" s="26">
        <f t="shared" si="14"/>
        <v>2.2160898113939016</v>
      </c>
      <c r="AT50" s="26">
        <f t="shared" si="15"/>
        <v>20953.128074494158</v>
      </c>
      <c r="AU50" s="26">
        <f t="shared" si="16"/>
        <v>0.21143520092906284</v>
      </c>
      <c r="AV50" s="28">
        <f t="shared" si="17"/>
        <v>5.2582112315891848E-2</v>
      </c>
      <c r="AW50" s="30">
        <f t="shared" si="18"/>
        <v>5796620859079.9678</v>
      </c>
      <c r="AY50">
        <v>298.14999999999998</v>
      </c>
      <c r="AZ50" s="26">
        <f t="shared" si="19"/>
        <v>5.8985892000000005E-2</v>
      </c>
    </row>
    <row r="51" spans="1:52" x14ac:dyDescent="0.3">
      <c r="A51">
        <v>51</v>
      </c>
      <c r="B51" t="s">
        <v>160</v>
      </c>
      <c r="C51" t="s">
        <v>65</v>
      </c>
      <c r="D51" t="s">
        <v>237</v>
      </c>
      <c r="E51" s="23">
        <v>125</v>
      </c>
      <c r="F51">
        <f t="shared" si="20"/>
        <v>74</v>
      </c>
      <c r="G51" s="26">
        <f t="shared" si="0"/>
        <v>126.04026358</v>
      </c>
      <c r="H51" s="26">
        <f>(G51-(A51*'Atomic Particles'!C1))/'Atomic Particles'!C2+A51</f>
        <v>125.02760842101627</v>
      </c>
      <c r="I51" s="26">
        <f t="shared" si="1"/>
        <v>0.33598553050412716</v>
      </c>
      <c r="J51" s="26">
        <f>(('Atomic Particles'!C1)*A51)+(('Atomic Particles'!C2)*Elements!F51)</f>
        <v>126.01241590663747</v>
      </c>
      <c r="K51" s="30">
        <f>(E51^(1/3))*Constants!B2</f>
        <v>6.250000000000001E-15</v>
      </c>
      <c r="L51" s="24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 s="26">
        <f t="shared" si="2"/>
        <v>44.7</v>
      </c>
      <c r="AH51" s="26">
        <f t="shared" si="3"/>
        <v>1317.3399110950077</v>
      </c>
      <c r="AI51" s="26">
        <f t="shared" si="4"/>
        <v>0.15887308652223464</v>
      </c>
      <c r="AJ51" s="26">
        <f t="shared" si="5"/>
        <v>126.0402811531346</v>
      </c>
      <c r="AK51" s="28">
        <f t="shared" si="6"/>
        <v>2.1110593486884686E-10</v>
      </c>
      <c r="AL51">
        <f t="shared" si="7"/>
        <v>3.0634010471337344E-17</v>
      </c>
      <c r="AM51" s="15">
        <f t="shared" si="8"/>
        <v>0</v>
      </c>
      <c r="AN51">
        <f t="shared" si="9"/>
        <v>6.2999999999999972</v>
      </c>
      <c r="AO51" s="28">
        <f t="shared" si="10"/>
        <v>4.2200764414030727E-42</v>
      </c>
      <c r="AP51" s="28">
        <f t="shared" si="11"/>
        <v>4.2200764414030724E-30</v>
      </c>
      <c r="AQ51" s="28">
        <f t="shared" si="12"/>
        <v>1.6086871184093693E+17</v>
      </c>
      <c r="AR51" s="26">
        <f t="shared" si="13"/>
        <v>117.59493567644451</v>
      </c>
      <c r="AS51" s="26">
        <f t="shared" si="14"/>
        <v>1.8635846248114891</v>
      </c>
      <c r="AT51" s="26">
        <f t="shared" si="15"/>
        <v>26051.52019035698</v>
      </c>
      <c r="AU51" s="26">
        <f t="shared" si="16"/>
        <v>0.19790015623196464</v>
      </c>
      <c r="AV51" s="28">
        <f t="shared" si="17"/>
        <v>3.7928155563885867E-2</v>
      </c>
      <c r="AW51" s="30">
        <f t="shared" si="18"/>
        <v>8036208577329.4268</v>
      </c>
      <c r="AY51">
        <v>298.14999999999998</v>
      </c>
      <c r="AZ51" s="26">
        <f t="shared" si="19"/>
        <v>6.3020131789999989E-2</v>
      </c>
    </row>
    <row r="52" spans="1:52" x14ac:dyDescent="0.3">
      <c r="A52">
        <v>52</v>
      </c>
      <c r="B52" t="s">
        <v>161</v>
      </c>
      <c r="C52" t="s">
        <v>230</v>
      </c>
      <c r="D52" t="s">
        <v>237</v>
      </c>
      <c r="E52" s="23">
        <v>128</v>
      </c>
      <c r="F52">
        <f t="shared" si="20"/>
        <v>76</v>
      </c>
      <c r="G52" s="26">
        <f t="shared" si="0"/>
        <v>129.06541816000001</v>
      </c>
      <c r="H52" s="26">
        <f>(G52-(A52*'Atomic Particles'!C1))/'Atomic Particles'!C2+A52</f>
        <v>128.02814926227211</v>
      </c>
      <c r="I52" s="26">
        <f t="shared" si="1"/>
        <v>0.30456242333467615</v>
      </c>
      <c r="J52" s="26">
        <f>(('Atomic Particles'!C1)*A52)+(('Atomic Particles'!C2)*Elements!F52)</f>
        <v>129.03702495849501</v>
      </c>
      <c r="K52" s="30">
        <f>(E52^(1/3))*Constants!B2</f>
        <v>6.2996052494743645E-15</v>
      </c>
      <c r="L52" s="24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 s="26">
        <f t="shared" si="2"/>
        <v>45.05</v>
      </c>
      <c r="AH52" s="26">
        <f t="shared" si="3"/>
        <v>1811.0531885728569</v>
      </c>
      <c r="AI52" s="26">
        <f t="shared" si="4"/>
        <v>0.11833618593143733</v>
      </c>
      <c r="AJ52" s="26">
        <f t="shared" si="5"/>
        <v>129.0654360315595</v>
      </c>
      <c r="AK52" s="28">
        <f t="shared" si="6"/>
        <v>1.9136221434154445E-10</v>
      </c>
      <c r="AL52">
        <f t="shared" si="7"/>
        <v>2.5171862235026689E-17</v>
      </c>
      <c r="AM52" s="15">
        <f t="shared" si="8"/>
        <v>0</v>
      </c>
      <c r="AN52">
        <f t="shared" si="9"/>
        <v>6.9500000000000028</v>
      </c>
      <c r="AO52" s="28">
        <f t="shared" si="10"/>
        <v>3.1433124473531378E-42</v>
      </c>
      <c r="AP52" s="28">
        <f t="shared" si="11"/>
        <v>3.1433124473531379E-30</v>
      </c>
      <c r="AQ52" s="28">
        <f t="shared" si="12"/>
        <v>1.8821513809236061E+17</v>
      </c>
      <c r="AR52" s="26">
        <f t="shared" si="13"/>
        <v>106.59684816713666</v>
      </c>
      <c r="AS52" s="26">
        <f t="shared" si="14"/>
        <v>1.5928179902983488</v>
      </c>
      <c r="AT52" s="26">
        <f t="shared" si="15"/>
        <v>31704.54910543513</v>
      </c>
      <c r="AU52" s="26">
        <f t="shared" si="16"/>
        <v>0.19326158942961891</v>
      </c>
      <c r="AV52" s="28">
        <f t="shared" si="17"/>
        <v>2.8250683404557206E-2</v>
      </c>
      <c r="AW52" s="30">
        <f t="shared" si="18"/>
        <v>10789068876670.654</v>
      </c>
      <c r="AY52">
        <v>298.14999999999998</v>
      </c>
      <c r="AZ52" s="26">
        <f t="shared" si="19"/>
        <v>6.453270908E-2</v>
      </c>
    </row>
    <row r="53" spans="1:52" x14ac:dyDescent="0.3">
      <c r="A53">
        <v>53</v>
      </c>
      <c r="B53" t="s">
        <v>162</v>
      </c>
      <c r="C53" t="s">
        <v>72</v>
      </c>
      <c r="D53" t="s">
        <v>238</v>
      </c>
      <c r="E53" s="23">
        <v>127</v>
      </c>
      <c r="F53">
        <f t="shared" si="20"/>
        <v>74</v>
      </c>
      <c r="G53" s="26">
        <f t="shared" si="0"/>
        <v>128.05591274</v>
      </c>
      <c r="H53" s="26">
        <f>(G53-(A53*'Atomic Particles'!C1))/'Atomic Particles'!C2+A53</f>
        <v>127.02869374880922</v>
      </c>
      <c r="I53" s="26">
        <f t="shared" si="1"/>
        <v>0.27851432133894732</v>
      </c>
      <c r="J53" s="26">
        <f>(('Atomic Particles'!C1)*A53)+(('Atomic Particles'!C2)*Elements!F53)</f>
        <v>128.02697033348153</v>
      </c>
      <c r="K53" s="30">
        <f>(E53^(1/3))*Constants!B2</f>
        <v>6.2831571191418486E-15</v>
      </c>
      <c r="L53" s="24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 s="26">
        <f t="shared" si="2"/>
        <v>45.4</v>
      </c>
      <c r="AH53" s="26">
        <f t="shared" si="3"/>
        <v>2349.6723780124257</v>
      </c>
      <c r="AI53" s="26">
        <f t="shared" si="4"/>
        <v>9.0496379450414416E-2</v>
      </c>
      <c r="AJ53" s="26">
        <f t="shared" si="5"/>
        <v>128.0559312461935</v>
      </c>
      <c r="AK53" s="28">
        <f t="shared" si="6"/>
        <v>1.749957091675966E-10</v>
      </c>
      <c r="AL53">
        <f t="shared" si="7"/>
        <v>2.1050274854698358E-17</v>
      </c>
      <c r="AM53" s="15">
        <f t="shared" si="8"/>
        <v>0</v>
      </c>
      <c r="AN53">
        <f t="shared" si="9"/>
        <v>7.6000000000000014</v>
      </c>
      <c r="AO53" s="28">
        <f t="shared" si="10"/>
        <v>2.4038158212374059E-42</v>
      </c>
      <c r="AP53" s="28">
        <f t="shared" si="11"/>
        <v>2.4038158212374058E-30</v>
      </c>
      <c r="AQ53" s="28">
        <f t="shared" si="12"/>
        <v>2.1728712577148877E+17</v>
      </c>
      <c r="AR53" s="26">
        <f t="shared" si="13"/>
        <v>97.480012468631557</v>
      </c>
      <c r="AS53" s="26">
        <f t="shared" si="14"/>
        <v>1.3797064917471384</v>
      </c>
      <c r="AT53" s="26">
        <f t="shared" si="15"/>
        <v>37912.214819728433</v>
      </c>
      <c r="AU53" s="26">
        <f t="shared" si="16"/>
        <v>0.19478513190284416</v>
      </c>
      <c r="AV53" s="28">
        <f t="shared" si="17"/>
        <v>2.1604419180736408E-2</v>
      </c>
      <c r="AW53" s="30">
        <f t="shared" si="18"/>
        <v>14108158451978.107</v>
      </c>
      <c r="AY53">
        <v>298.14999999999998</v>
      </c>
      <c r="AZ53" s="26">
        <f t="shared" si="19"/>
        <v>6.402795637E-2</v>
      </c>
    </row>
    <row r="54" spans="1:52" x14ac:dyDescent="0.3">
      <c r="A54">
        <v>54</v>
      </c>
      <c r="B54" t="s">
        <v>163</v>
      </c>
      <c r="C54" t="s">
        <v>77</v>
      </c>
      <c r="D54" t="s">
        <v>234</v>
      </c>
      <c r="E54" s="23">
        <v>129</v>
      </c>
      <c r="F54">
        <f t="shared" si="20"/>
        <v>75</v>
      </c>
      <c r="G54" s="26">
        <f t="shared" si="0"/>
        <v>130.07240232000001</v>
      </c>
      <c r="H54" s="26">
        <f>(G54-(A54*'Atomic Particles'!C1))/'Atomic Particles'!C2+A54</f>
        <v>129.02923550138536</v>
      </c>
      <c r="I54" s="26">
        <f t="shared" si="1"/>
        <v>0.25657076874860607</v>
      </c>
      <c r="J54" s="26">
        <f>(('Atomic Particles'!C1)*A54)+(('Atomic Particles'!C55)*Elements!F2)</f>
        <v>54.392969524789883</v>
      </c>
      <c r="K54" s="30">
        <f>(E54^(1/3))*Constants!B2</f>
        <v>6.3159679340107001E-15</v>
      </c>
      <c r="L54" s="24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 s="26">
        <f t="shared" si="2"/>
        <v>45.75</v>
      </c>
      <c r="AH54" s="26">
        <f t="shared" si="3"/>
        <v>3052.9093265034571</v>
      </c>
      <c r="AI54" s="26">
        <f t="shared" si="4"/>
        <v>7.0747343256254258E-2</v>
      </c>
      <c r="AJ54" s="26">
        <f t="shared" si="5"/>
        <v>130.07242120867073</v>
      </c>
      <c r="AK54" s="28">
        <f t="shared" si="6"/>
        <v>1.6120816844530116E-10</v>
      </c>
      <c r="AL54">
        <f t="shared" si="7"/>
        <v>1.7863932056674053E-17</v>
      </c>
      <c r="AM54" s="15">
        <f t="shared" si="8"/>
        <v>0</v>
      </c>
      <c r="AN54">
        <f t="shared" si="9"/>
        <v>8.25</v>
      </c>
      <c r="AO54" s="28">
        <f t="shared" si="10"/>
        <v>1.8792307942339315E-42</v>
      </c>
      <c r="AP54" s="28">
        <f t="shared" si="11"/>
        <v>1.8792307942339314E-30</v>
      </c>
      <c r="AQ54" s="28">
        <f t="shared" si="12"/>
        <v>2.4805813530848173E+17</v>
      </c>
      <c r="AR54" s="26">
        <f t="shared" si="13"/>
        <v>89.799769062012132</v>
      </c>
      <c r="AS54" s="26">
        <f>299792458000000000 / AQ54</f>
        <v>1.2085572506105562</v>
      </c>
      <c r="AT54" s="26">
        <f t="shared" si="15"/>
        <v>44674.517333236923</v>
      </c>
      <c r="AU54" s="26">
        <f t="shared" si="16"/>
        <v>0.19176541225582247</v>
      </c>
      <c r="AV54" s="28">
        <f t="shared" si="17"/>
        <v>1.6889684083649416E-2</v>
      </c>
      <c r="AW54" s="30">
        <f t="shared" si="18"/>
        <v>18046433998126.355</v>
      </c>
      <c r="AY54">
        <v>298.14999999999998</v>
      </c>
      <c r="AZ54" s="26">
        <f t="shared" si="19"/>
        <v>6.5036201160000001E-2</v>
      </c>
    </row>
    <row r="55" spans="1:52" x14ac:dyDescent="0.3">
      <c r="A55">
        <v>55</v>
      </c>
      <c r="B55" t="s">
        <v>164</v>
      </c>
      <c r="C55" t="s">
        <v>5</v>
      </c>
      <c r="D55" t="s">
        <v>235</v>
      </c>
      <c r="E55" s="23">
        <v>133</v>
      </c>
      <c r="F55">
        <f t="shared" si="20"/>
        <v>78</v>
      </c>
      <c r="G55" s="26">
        <f t="shared" si="0"/>
        <v>134.10622190000001</v>
      </c>
      <c r="H55" s="26">
        <f>(G55-(A55*'Atomic Particles'!C1))/'Atomic Particles'!C2+A55</f>
        <v>133.02977543132087</v>
      </c>
      <c r="I55" s="26">
        <f t="shared" si="1"/>
        <v>0.96214038280727154</v>
      </c>
      <c r="J55" s="26">
        <f>(('Atomic Particles'!C1)*A55)+(('Atomic Particles'!C56)*Elements!F2)</f>
        <v>55.400246738211919</v>
      </c>
      <c r="K55" s="30">
        <f>(E55^(1/3))*Constants!B2</f>
        <v>6.3805859025018287E-15</v>
      </c>
      <c r="L55" s="24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 s="26">
        <f t="shared" si="2"/>
        <v>52.8</v>
      </c>
      <c r="AH55" s="26">
        <f t="shared" si="3"/>
        <v>59.687565932928742</v>
      </c>
      <c r="AI55" s="26">
        <f t="shared" si="4"/>
        <v>3.730816929529019</v>
      </c>
      <c r="AJ55" s="26">
        <f t="shared" si="5"/>
        <v>134.10624100304335</v>
      </c>
      <c r="AK55" s="28">
        <f t="shared" si="6"/>
        <v>6.0453063166987861E-10</v>
      </c>
      <c r="AL55">
        <f t="shared" si="7"/>
        <v>2.5121154454697825E-16</v>
      </c>
      <c r="AM55" s="15">
        <f t="shared" si="8"/>
        <v>0</v>
      </c>
      <c r="AN55">
        <f t="shared" si="9"/>
        <v>2.2000000000000028</v>
      </c>
      <c r="AO55" s="28">
        <f t="shared" si="10"/>
        <v>9.9100061414679601E-41</v>
      </c>
      <c r="AP55" s="28">
        <f t="shared" si="11"/>
        <v>9.9100061414679602E-29</v>
      </c>
      <c r="AQ55" s="28">
        <f t="shared" si="12"/>
        <v>3.4473949250468664E+16</v>
      </c>
      <c r="AR55" s="26">
        <f t="shared" si="13"/>
        <v>336.74913398254506</v>
      </c>
      <c r="AS55" s="26">
        <f t="shared" si="14"/>
        <v>8.6962029160591285</v>
      </c>
      <c r="AT55" s="26">
        <f t="shared" si="15"/>
        <v>3176.8545659190786</v>
      </c>
      <c r="AU55" s="26">
        <f t="shared" si="16"/>
        <v>0.18599724532244091</v>
      </c>
      <c r="AV55" s="28">
        <f t="shared" si="17"/>
        <v>0.89066693409869624</v>
      </c>
      <c r="AW55" s="30">
        <f t="shared" si="18"/>
        <v>342213859520.02692</v>
      </c>
      <c r="AY55">
        <v>298.14999999999998</v>
      </c>
      <c r="AZ55" s="26">
        <f t="shared" si="19"/>
        <v>6.7053110950000008E-2</v>
      </c>
    </row>
    <row r="56" spans="1:52" x14ac:dyDescent="0.3">
      <c r="A56">
        <v>56</v>
      </c>
      <c r="B56" t="s">
        <v>165</v>
      </c>
      <c r="C56" t="s">
        <v>11</v>
      </c>
      <c r="D56" t="s">
        <v>236</v>
      </c>
      <c r="E56" s="23">
        <v>135</v>
      </c>
      <c r="F56">
        <f t="shared" si="20"/>
        <v>79</v>
      </c>
      <c r="G56" s="26">
        <f t="shared" si="0"/>
        <v>136.12271148000002</v>
      </c>
      <c r="H56" s="26">
        <f>(G56-(A56*'Atomic Particles'!C1))/'Atomic Particles'!C2+A56</f>
        <v>135.03031718389704</v>
      </c>
      <c r="I56" s="26">
        <f t="shared" si="1"/>
        <v>0.74270485690385923</v>
      </c>
      <c r="J56" s="26">
        <f>(('Atomic Particles'!C1)*A56)+(('Atomic Particles'!C57)*Elements!F2)</f>
        <v>56.407523951633955</v>
      </c>
      <c r="K56" s="30">
        <f>(E56^(1/3))*Constants!B2</f>
        <v>6.4124098000376141E-15</v>
      </c>
      <c r="L56" s="24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 s="26">
        <f t="shared" si="2"/>
        <v>53.15</v>
      </c>
      <c r="AH56" s="26">
        <f t="shared" si="3"/>
        <v>131.71403975895987</v>
      </c>
      <c r="AI56" s="26">
        <f t="shared" si="4"/>
        <v>1.7160794918004496</v>
      </c>
      <c r="AJ56" s="26">
        <f t="shared" si="5"/>
        <v>136.12273096552056</v>
      </c>
      <c r="AK56" s="28">
        <f t="shared" si="6"/>
        <v>4.6665522444692403E-10</v>
      </c>
      <c r="AL56">
        <f t="shared" si="7"/>
        <v>1.4969084341118823E-16</v>
      </c>
      <c r="AM56" s="15">
        <f t="shared" si="8"/>
        <v>0</v>
      </c>
      <c r="AN56">
        <f t="shared" si="9"/>
        <v>2.8500000000000014</v>
      </c>
      <c r="AO56" s="28">
        <f t="shared" si="10"/>
        <v>4.5583470387909278E-41</v>
      </c>
      <c r="AP56" s="28">
        <f t="shared" si="11"/>
        <v>4.5583470387909276E-29</v>
      </c>
      <c r="AQ56" s="28">
        <f t="shared" si="12"/>
        <v>5.1290505047186408E+16</v>
      </c>
      <c r="AR56" s="26">
        <f t="shared" si="13"/>
        <v>259.94669991635072</v>
      </c>
      <c r="AS56" s="26">
        <f t="shared" si="14"/>
        <v>5.844989393732738</v>
      </c>
      <c r="AT56" s="26">
        <f t="shared" si="15"/>
        <v>5331.4052090243149</v>
      </c>
      <c r="AU56" s="26">
        <f t="shared" si="16"/>
        <v>0.18324192622084842</v>
      </c>
      <c r="AV56" s="28">
        <f t="shared" si="17"/>
        <v>0.40968380076063071</v>
      </c>
      <c r="AW56" s="30">
        <f t="shared" si="18"/>
        <v>743984918366.03394</v>
      </c>
      <c r="AY56">
        <v>298.14999999999998</v>
      </c>
      <c r="AZ56" s="26">
        <f t="shared" si="19"/>
        <v>6.806135574000001E-2</v>
      </c>
    </row>
    <row r="57" spans="1:52" x14ac:dyDescent="0.3">
      <c r="A57">
        <v>57</v>
      </c>
      <c r="B57" t="s">
        <v>166</v>
      </c>
      <c r="C57" t="s">
        <v>82</v>
      </c>
      <c r="D57" t="s">
        <v>241</v>
      </c>
      <c r="E57" s="23">
        <v>138</v>
      </c>
      <c r="F57">
        <f t="shared" si="20"/>
        <v>81</v>
      </c>
      <c r="G57" s="26">
        <f t="shared" si="0"/>
        <v>139.14786606000001</v>
      </c>
      <c r="H57" s="26">
        <f>(G57-(A57*'Atomic Particles'!C1))/'Atomic Particles'!C2+A57</f>
        <v>138.03085802515284</v>
      </c>
      <c r="I57" s="26">
        <f t="shared" si="1"/>
        <v>0.70556961405866669</v>
      </c>
      <c r="J57" s="26">
        <f>(('Atomic Particles'!C1)*A57)+(('Atomic Particles'!C58)*Elements!F2)</f>
        <v>57.414801165055991</v>
      </c>
      <c r="K57" s="30">
        <f>(E57^(1/3))*Constants!B2</f>
        <v>6.4595615654545291E-15</v>
      </c>
      <c r="L57" s="24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 s="26">
        <f t="shared" si="2"/>
        <v>54</v>
      </c>
      <c r="AH57" s="26">
        <f t="shared" si="3"/>
        <v>157.03888870414386</v>
      </c>
      <c r="AI57" s="26">
        <f t="shared" si="4"/>
        <v>1.4713236542824129</v>
      </c>
      <c r="AJ57" s="26">
        <f t="shared" si="5"/>
        <v>139.14788584394546</v>
      </c>
      <c r="AK57" s="28">
        <f t="shared" si="6"/>
        <v>4.4332246322457815E-10</v>
      </c>
      <c r="AL57">
        <f t="shared" si="7"/>
        <v>1.3509598617859751E-16</v>
      </c>
      <c r="AM57" s="15">
        <f t="shared" si="8"/>
        <v>0</v>
      </c>
      <c r="AN57">
        <f t="shared" si="9"/>
        <v>3</v>
      </c>
      <c r="AO57" s="28">
        <f t="shared" si="10"/>
        <v>3.9082127923833786E-41</v>
      </c>
      <c r="AP57" s="28">
        <f t="shared" si="11"/>
        <v>3.9082127923833785E-29</v>
      </c>
      <c r="AQ57" s="28">
        <f t="shared" si="12"/>
        <v>5.5884964822639736E+16</v>
      </c>
      <c r="AR57" s="26">
        <f t="shared" si="13"/>
        <v>246.94936492053336</v>
      </c>
      <c r="AS57" s="26">
        <f t="shared" si="14"/>
        <v>5.3644564141972966</v>
      </c>
      <c r="AT57" s="26">
        <f t="shared" si="15"/>
        <v>5907.3741928247182</v>
      </c>
      <c r="AU57" s="26">
        <f t="shared" si="16"/>
        <v>0.17925814143096172</v>
      </c>
      <c r="AV57" s="28">
        <f t="shared" si="17"/>
        <v>0.3512526486771464</v>
      </c>
      <c r="AW57" s="30">
        <f t="shared" si="18"/>
        <v>867747389842.28894</v>
      </c>
      <c r="AY57">
        <v>298.14999999999998</v>
      </c>
      <c r="AZ57" s="26">
        <f t="shared" si="19"/>
        <v>6.9573933030000007E-2</v>
      </c>
    </row>
    <row r="58" spans="1:52" x14ac:dyDescent="0.3">
      <c r="A58">
        <v>58</v>
      </c>
      <c r="B58" t="s">
        <v>167</v>
      </c>
      <c r="C58" t="s">
        <v>84</v>
      </c>
      <c r="D58" t="s">
        <v>241</v>
      </c>
      <c r="E58" s="23">
        <v>138</v>
      </c>
      <c r="F58">
        <f t="shared" si="20"/>
        <v>80</v>
      </c>
      <c r="G58" s="26">
        <f t="shared" si="0"/>
        <v>139.14702564000001</v>
      </c>
      <c r="H58" s="26">
        <f>(G58-(A58*'Atomic Particles'!C1))/'Atomic Particles'!C2+A58</f>
        <v>138.03140160036963</v>
      </c>
      <c r="I58" s="26">
        <f t="shared" si="1"/>
        <v>0.70556961405866669</v>
      </c>
      <c r="J58" s="26">
        <f>(('Atomic Particles'!C1)*A58)+(('Atomic Particles'!C59)*Elements!F2)</f>
        <v>58.422078378478027</v>
      </c>
      <c r="K58" s="30">
        <f>(E58^(1/3))*Constants!B2</f>
        <v>6.4595615654545291E-15</v>
      </c>
      <c r="L58" s="24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 s="26">
        <f t="shared" si="2"/>
        <v>55</v>
      </c>
      <c r="AH58" s="26">
        <f t="shared" si="3"/>
        <v>157.03794022662433</v>
      </c>
      <c r="AI58" s="26">
        <f t="shared" si="4"/>
        <v>1.4713236542824129</v>
      </c>
      <c r="AJ58" s="26">
        <f t="shared" si="5"/>
        <v>139.1470459745272</v>
      </c>
      <c r="AK58" s="28">
        <f t="shared" si="6"/>
        <v>4.4332246322457815E-10</v>
      </c>
      <c r="AL58">
        <f t="shared" si="7"/>
        <v>1.3509598617859751E-16</v>
      </c>
      <c r="AM58" s="15">
        <f t="shared" si="8"/>
        <v>0</v>
      </c>
      <c r="AN58">
        <f t="shared" si="9"/>
        <v>3</v>
      </c>
      <c r="AO58" s="28">
        <f t="shared" si="10"/>
        <v>3.9082127923833786E-41</v>
      </c>
      <c r="AP58" s="28">
        <f t="shared" si="11"/>
        <v>3.9082127923833785E-29</v>
      </c>
      <c r="AQ58" s="28">
        <f t="shared" si="12"/>
        <v>5.6373052385108E+16</v>
      </c>
      <c r="AR58" s="26">
        <f t="shared" si="13"/>
        <v>246.94936492053336</v>
      </c>
      <c r="AS58" s="26">
        <f t="shared" si="14"/>
        <v>5.3180100298985371</v>
      </c>
      <c r="AT58" s="26">
        <f t="shared" si="15"/>
        <v>5907.3741928247182</v>
      </c>
      <c r="AU58" s="26">
        <f t="shared" si="16"/>
        <v>0.17925922411401965</v>
      </c>
      <c r="AV58" s="28">
        <f t="shared" si="17"/>
        <v>0.3512526486771464</v>
      </c>
      <c r="AW58" s="30">
        <f t="shared" si="18"/>
        <v>867747389842.28894</v>
      </c>
      <c r="AY58">
        <v>298.14999999999998</v>
      </c>
      <c r="AZ58" s="26">
        <f t="shared" si="19"/>
        <v>6.9573512820000002E-2</v>
      </c>
    </row>
    <row r="59" spans="1:52" x14ac:dyDescent="0.3">
      <c r="A59">
        <v>59</v>
      </c>
      <c r="B59" t="s">
        <v>168</v>
      </c>
      <c r="C59" t="s">
        <v>85</v>
      </c>
      <c r="D59" t="s">
        <v>241</v>
      </c>
      <c r="E59" s="23">
        <v>141</v>
      </c>
      <c r="F59">
        <f t="shared" si="20"/>
        <v>82</v>
      </c>
      <c r="G59" s="26">
        <f t="shared" si="0"/>
        <v>142.17218022</v>
      </c>
      <c r="H59" s="26">
        <f>(G59-(A59*'Atomic Particles'!C1))/'Atomic Particles'!C2+A59</f>
        <v>141.03194244162546</v>
      </c>
      <c r="I59" s="26">
        <f t="shared" si="1"/>
        <v>0.74270485690385923</v>
      </c>
      <c r="J59" s="26">
        <f>(('Atomic Particles'!C1)*A59)+(('Atomic Particles'!C2)*Elements!F59)</f>
        <v>142.13996096775577</v>
      </c>
      <c r="K59" s="30">
        <f>(E59^(1/3))*Constants!B2</f>
        <v>6.5060348292427508E-15</v>
      </c>
      <c r="L59" s="24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 s="26">
        <f t="shared" si="2"/>
        <v>56.15</v>
      </c>
      <c r="AH59" s="26">
        <f t="shared" si="3"/>
        <v>137.56758144555798</v>
      </c>
      <c r="AI59" s="26">
        <f t="shared" si="4"/>
        <v>1.7160794918004496</v>
      </c>
      <c r="AJ59" s="26">
        <f t="shared" si="5"/>
        <v>142.17220085295213</v>
      </c>
      <c r="AK59" s="28">
        <f t="shared" si="6"/>
        <v>4.6665522444692403E-10</v>
      </c>
      <c r="AL59">
        <f t="shared" si="7"/>
        <v>1.4969084341118823E-16</v>
      </c>
      <c r="AM59" s="15">
        <f t="shared" si="8"/>
        <v>0</v>
      </c>
      <c r="AN59">
        <f t="shared" si="9"/>
        <v>2.8500000000000014</v>
      </c>
      <c r="AO59" s="28">
        <f t="shared" si="10"/>
        <v>4.5583470387909278E-41</v>
      </c>
      <c r="AP59" s="28">
        <f t="shared" si="11"/>
        <v>4.5583470387909276E-29</v>
      </c>
      <c r="AQ59" s="28">
        <f t="shared" si="12"/>
        <v>5.2646434991862016E+16</v>
      </c>
      <c r="AR59" s="26">
        <f t="shared" si="13"/>
        <v>259.94669991635072</v>
      </c>
      <c r="AS59" s="26">
        <f t="shared" si="14"/>
        <v>5.6944493591321299</v>
      </c>
      <c r="AT59" s="26">
        <f t="shared" si="15"/>
        <v>5331.4052090243149</v>
      </c>
      <c r="AU59" s="26">
        <f t="shared" si="16"/>
        <v>0.17544492751959009</v>
      </c>
      <c r="AV59" s="28">
        <f t="shared" si="17"/>
        <v>0.40968380076063071</v>
      </c>
      <c r="AW59" s="30">
        <f t="shared" si="18"/>
        <v>743984918366.03394</v>
      </c>
      <c r="AY59">
        <v>298.14999999999998</v>
      </c>
      <c r="AZ59" s="26">
        <f t="shared" si="19"/>
        <v>7.108609011E-2</v>
      </c>
    </row>
    <row r="60" spans="1:52" x14ac:dyDescent="0.3">
      <c r="A60">
        <v>60</v>
      </c>
      <c r="B60" t="s">
        <v>465</v>
      </c>
      <c r="C60" t="s">
        <v>86</v>
      </c>
      <c r="D60" t="s">
        <v>241</v>
      </c>
      <c r="E60" s="23">
        <v>143</v>
      </c>
      <c r="F60">
        <f t="shared" si="20"/>
        <v>83</v>
      </c>
      <c r="G60" s="26">
        <f t="shared" si="0"/>
        <v>144.18866979999999</v>
      </c>
      <c r="H60" s="26">
        <f>(G60-(A60*'Atomic Particles'!C1))/'Atomic Particles'!C2+A60</f>
        <v>143.03248419420163</v>
      </c>
      <c r="I60" s="26">
        <f t="shared" si="1"/>
        <v>0.74270485690385923</v>
      </c>
      <c r="J60" s="26">
        <f>(('Atomic Particles'!C1)*A60)+(('Atomic Particles'!C2)*Elements!F60)</f>
        <v>144.15590410039556</v>
      </c>
      <c r="K60" s="30">
        <f>(E60^(1/3))*Constants!B2</f>
        <v>6.5366519146949789E-15</v>
      </c>
      <c r="L60" s="24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 s="26">
        <f t="shared" si="2"/>
        <v>57.15</v>
      </c>
      <c r="AH60" s="26">
        <f t="shared" si="3"/>
        <v>139.51876200775729</v>
      </c>
      <c r="AI60" s="26">
        <f t="shared" si="4"/>
        <v>1.7160794918004496</v>
      </c>
      <c r="AJ60" s="26">
        <f t="shared" si="5"/>
        <v>144.18869081542934</v>
      </c>
      <c r="AK60" s="28">
        <f t="shared" si="6"/>
        <v>4.6665522444692403E-10</v>
      </c>
      <c r="AL60">
        <f t="shared" si="7"/>
        <v>1.4969084341118823E-16</v>
      </c>
      <c r="AM60" s="15">
        <f t="shared" si="8"/>
        <v>0</v>
      </c>
      <c r="AN60">
        <f t="shared" si="9"/>
        <v>2.8500000000000014</v>
      </c>
      <c r="AO60" s="28">
        <f>4 * PI() * 8.854187817E-12 * (I60 * 0.0000000001)^3</f>
        <v>4.5583470387909278E-41</v>
      </c>
      <c r="AP60" s="28">
        <f t="shared" si="11"/>
        <v>4.5583470387909276E-29</v>
      </c>
      <c r="AQ60" s="28">
        <f t="shared" si="12"/>
        <v>5.3090716581507792E+16</v>
      </c>
      <c r="AR60" s="26">
        <f t="shared" si="13"/>
        <v>259.94669991635072</v>
      </c>
      <c r="AS60" s="26">
        <f t="shared" si="14"/>
        <v>5.6467962254708333</v>
      </c>
      <c r="AT60" s="26">
        <f t="shared" si="15"/>
        <v>5331.4052090243149</v>
      </c>
      <c r="AU60" s="26">
        <f t="shared" si="16"/>
        <v>0.17299131678375471</v>
      </c>
      <c r="AV60" s="28">
        <f t="shared" si="17"/>
        <v>0.40968380076063071</v>
      </c>
      <c r="AW60" s="30">
        <f t="shared" si="18"/>
        <v>743984918366.03394</v>
      </c>
      <c r="AY60">
        <v>298.14999999999998</v>
      </c>
      <c r="AZ60" s="26">
        <f t="shared" si="19"/>
        <v>7.2094334899999987E-2</v>
      </c>
    </row>
    <row r="61" spans="1:52" x14ac:dyDescent="0.3">
      <c r="A61">
        <v>61</v>
      </c>
      <c r="B61" t="s">
        <v>171</v>
      </c>
      <c r="C61" t="s">
        <v>87</v>
      </c>
      <c r="D61" t="s">
        <v>241</v>
      </c>
      <c r="E61" s="23">
        <v>145</v>
      </c>
      <c r="F61">
        <f t="shared" si="20"/>
        <v>84</v>
      </c>
      <c r="G61" s="26">
        <f t="shared" si="0"/>
        <v>146.20515938</v>
      </c>
      <c r="H61" s="26">
        <f>(G61-(A61*'Atomic Particles'!C1))/'Atomic Particles'!C2+A61</f>
        <v>145.03302594677777</v>
      </c>
      <c r="I61" s="26">
        <f t="shared" si="1"/>
        <v>0.74270485690385923</v>
      </c>
      <c r="J61" s="26">
        <f>(('Atomic Particles'!C1)*A61)+(('Atomic Particles'!C2)*Elements!F61)</f>
        <v>146.17184723303535</v>
      </c>
      <c r="K61" s="30">
        <f>(E61^(1/3))*Constants!B2</f>
        <v>6.5669848406161256E-15</v>
      </c>
      <c r="L61" s="24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 s="26">
        <f t="shared" si="2"/>
        <v>58.15</v>
      </c>
      <c r="AH61" s="26">
        <f t="shared" si="3"/>
        <v>141.46994256995669</v>
      </c>
      <c r="AI61" s="26">
        <f t="shared" si="4"/>
        <v>1.7160794918004496</v>
      </c>
      <c r="AJ61" s="26">
        <f t="shared" si="5"/>
        <v>146.20518077790652</v>
      </c>
      <c r="AK61" s="28">
        <f t="shared" si="6"/>
        <v>4.6665522444692403E-10</v>
      </c>
      <c r="AL61">
        <f t="shared" si="7"/>
        <v>1.4969084341118823E-16</v>
      </c>
      <c r="AM61" s="15">
        <f t="shared" si="8"/>
        <v>0</v>
      </c>
      <c r="AN61">
        <f t="shared" si="9"/>
        <v>2.8500000000000014</v>
      </c>
      <c r="AO61" s="28">
        <f t="shared" si="10"/>
        <v>4.5583470387909278E-41</v>
      </c>
      <c r="AP61" s="28">
        <f t="shared" si="11"/>
        <v>4.5583470387909276E-29</v>
      </c>
      <c r="AQ61" s="28">
        <f t="shared" si="12"/>
        <v>5.35313109957492E+16</v>
      </c>
      <c r="AR61" s="26">
        <f t="shared" si="13"/>
        <v>259.94669991635072</v>
      </c>
      <c r="AS61" s="26">
        <f t="shared" si="14"/>
        <v>5.6003197460231426</v>
      </c>
      <c r="AT61" s="26">
        <f t="shared" si="15"/>
        <v>5331.4052090243149</v>
      </c>
      <c r="AU61" s="26">
        <f t="shared" si="16"/>
        <v>0.17060538738697964</v>
      </c>
      <c r="AV61" s="28">
        <f t="shared" si="17"/>
        <v>0.40968380076063071</v>
      </c>
      <c r="AW61" s="30">
        <f t="shared" si="18"/>
        <v>743984918366.03394</v>
      </c>
      <c r="AY61">
        <v>298.14999999999998</v>
      </c>
      <c r="AZ61" s="26">
        <f t="shared" si="19"/>
        <v>7.3102579690000002E-2</v>
      </c>
    </row>
    <row r="62" spans="1:52" x14ac:dyDescent="0.3">
      <c r="A62">
        <v>62</v>
      </c>
      <c r="B62" t="s">
        <v>169</v>
      </c>
      <c r="C62" t="s">
        <v>88</v>
      </c>
      <c r="D62" t="s">
        <v>241</v>
      </c>
      <c r="E62" s="23">
        <v>147</v>
      </c>
      <c r="F62">
        <f t="shared" si="20"/>
        <v>85</v>
      </c>
      <c r="G62" s="26">
        <f t="shared" si="0"/>
        <v>148.22164895999998</v>
      </c>
      <c r="H62" s="26">
        <f>(G62-(A62*'Atomic Particles'!C1))/'Atomic Particles'!C2+A62</f>
        <v>147.03356769935391</v>
      </c>
      <c r="I62" s="26">
        <f t="shared" si="1"/>
        <v>0.74270485690385923</v>
      </c>
      <c r="J62" s="26">
        <f>(('Atomic Particles'!C1)*A62)+(('Atomic Particles'!C2)*Elements!F62)</f>
        <v>148.18779036567514</v>
      </c>
      <c r="K62" s="30">
        <f>(E62^(1/3))*Constants!B2</f>
        <v>6.5970401098800959E-15</v>
      </c>
      <c r="L62" s="24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 s="26">
        <f t="shared" si="2"/>
        <v>59.15</v>
      </c>
      <c r="AH62" s="26">
        <f t="shared" si="3"/>
        <v>143.42112313215605</v>
      </c>
      <c r="AI62" s="26">
        <f t="shared" si="4"/>
        <v>1.7160794918004496</v>
      </c>
      <c r="AJ62" s="26">
        <f t="shared" si="5"/>
        <v>148.2216707403837</v>
      </c>
      <c r="AK62" s="28">
        <f t="shared" si="6"/>
        <v>4.6665522444692403E-10</v>
      </c>
      <c r="AL62">
        <f t="shared" si="7"/>
        <v>1.4969084341118823E-16</v>
      </c>
      <c r="AM62" s="15">
        <f t="shared" si="8"/>
        <v>0</v>
      </c>
      <c r="AN62">
        <f t="shared" si="9"/>
        <v>2.8500000000000014</v>
      </c>
      <c r="AO62" s="28">
        <f t="shared" si="10"/>
        <v>4.5583470387909278E-41</v>
      </c>
      <c r="AP62" s="28">
        <f t="shared" si="11"/>
        <v>4.5583470387909276E-29</v>
      </c>
      <c r="AQ62" s="28">
        <f t="shared" si="12"/>
        <v>5.3968308540376288E+16</v>
      </c>
      <c r="AR62" s="26">
        <f t="shared" si="13"/>
        <v>259.94669991635072</v>
      </c>
      <c r="AS62" s="26">
        <f t="shared" si="14"/>
        <v>5.5549722811066209</v>
      </c>
      <c r="AT62" s="26">
        <f t="shared" si="15"/>
        <v>5331.4052090243149</v>
      </c>
      <c r="AU62" s="26">
        <f t="shared" si="16"/>
        <v>0.16828437700575966</v>
      </c>
      <c r="AV62" s="28">
        <f t="shared" si="17"/>
        <v>0.40968380076063071</v>
      </c>
      <c r="AW62" s="30">
        <f t="shared" si="18"/>
        <v>743984918366.03394</v>
      </c>
      <c r="AY62">
        <v>298.14999999999998</v>
      </c>
      <c r="AZ62" s="26">
        <f t="shared" si="19"/>
        <v>7.411082447999999E-2</v>
      </c>
    </row>
    <row r="63" spans="1:52" x14ac:dyDescent="0.3">
      <c r="A63">
        <v>63</v>
      </c>
      <c r="B63" t="s">
        <v>170</v>
      </c>
      <c r="C63" t="s">
        <v>89</v>
      </c>
      <c r="D63" t="s">
        <v>241</v>
      </c>
      <c r="E63" s="23">
        <v>153</v>
      </c>
      <c r="F63">
        <f t="shared" si="20"/>
        <v>90</v>
      </c>
      <c r="G63" s="26">
        <f t="shared" si="0"/>
        <v>154.27279854</v>
      </c>
      <c r="H63" s="26">
        <f>(G63-(A63*'Atomic Particles'!C1))/'Atomic Particles'!C2+A63</f>
        <v>153.03410580664877</v>
      </c>
      <c r="I63" s="26">
        <f t="shared" si="1"/>
        <v>0.74270485690385923</v>
      </c>
      <c r="J63" s="26">
        <f>(('Atomic Particles'!C1)*A63)+(('Atomic Particles'!C2)*Elements!F63)</f>
        <v>154.23839717518595</v>
      </c>
      <c r="K63" s="30">
        <f>(E63^(1/3))*Constants!B2</f>
        <v>6.685601551549203E-15</v>
      </c>
      <c r="L63" s="24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 s="26">
        <f t="shared" si="2"/>
        <v>60.15</v>
      </c>
      <c r="AH63" s="26">
        <f t="shared" si="3"/>
        <v>149.2762912205807</v>
      </c>
      <c r="AI63" s="26">
        <f t="shared" si="4"/>
        <v>1.7160794918004496</v>
      </c>
      <c r="AJ63" s="26">
        <f t="shared" si="5"/>
        <v>154.27282036665184</v>
      </c>
      <c r="AK63" s="28">
        <f t="shared" si="6"/>
        <v>4.6665522444692403E-10</v>
      </c>
      <c r="AL63">
        <f t="shared" si="7"/>
        <v>1.4969084341118823E-16</v>
      </c>
      <c r="AM63" s="15">
        <f t="shared" si="8"/>
        <v>0</v>
      </c>
      <c r="AN63">
        <f>A63-AG63</f>
        <v>2.8500000000000014</v>
      </c>
      <c r="AO63" s="28">
        <f t="shared" si="10"/>
        <v>4.5583470387909278E-41</v>
      </c>
      <c r="AP63" s="28">
        <f t="shared" si="11"/>
        <v>4.5583470387909276E-29</v>
      </c>
      <c r="AQ63" s="28">
        <f t="shared" si="12"/>
        <v>5.4401795894022528E+16</v>
      </c>
      <c r="AR63" s="26">
        <f t="shared" si="13"/>
        <v>259.94669991635072</v>
      </c>
      <c r="AS63" s="26">
        <f t="shared" si="14"/>
        <v>5.510708848362488</v>
      </c>
      <c r="AT63" s="26">
        <f t="shared" si="15"/>
        <v>5331.4052090243149</v>
      </c>
      <c r="AU63" s="26">
        <f t="shared" si="16"/>
        <v>0.16168364151074019</v>
      </c>
      <c r="AV63" s="28">
        <f t="shared" si="17"/>
        <v>0.40968380076063071</v>
      </c>
      <c r="AW63" s="30">
        <f t="shared" si="18"/>
        <v>743984918366.03394</v>
      </c>
      <c r="AY63">
        <v>298.14999999999998</v>
      </c>
      <c r="AZ63" s="26">
        <f t="shared" si="19"/>
        <v>7.7136399270000003E-2</v>
      </c>
    </row>
    <row r="64" spans="1:52" x14ac:dyDescent="0.3">
      <c r="A64">
        <v>64</v>
      </c>
      <c r="B64" t="s">
        <v>466</v>
      </c>
      <c r="C64" t="s">
        <v>90</v>
      </c>
      <c r="D64" t="s">
        <v>241</v>
      </c>
      <c r="E64" s="23">
        <v>152</v>
      </c>
      <c r="F64">
        <f t="shared" si="20"/>
        <v>88</v>
      </c>
      <c r="G64" s="26">
        <f t="shared" si="0"/>
        <v>153.26329311999999</v>
      </c>
      <c r="H64" s="26">
        <f>(G64-(A64*'Atomic Particles'!C1))/'Atomic Particles'!C2+A64</f>
        <v>152.0346502931859</v>
      </c>
      <c r="I64" s="26">
        <f t="shared" si="1"/>
        <v>0.70556961405866669</v>
      </c>
      <c r="J64" s="26">
        <f>(('Atomic Particles'!C1)*A64)+(('Atomic Particles'!C2)*Elements!F64)</f>
        <v>153.22834255017247</v>
      </c>
      <c r="K64" s="30">
        <f>(E64^(1/3))*Constants!B2</f>
        <v>6.6710041218048623E-15</v>
      </c>
      <c r="L64" s="24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 s="26">
        <f>IF(A64=1, 0, IF(A64=2, 0.3, IF(A64&lt;=10, 0.35*(N64+O64-1)+0.85*M64, IF(A64&lt;=18, 0.35*(P64+Q64-1)+0.85*(N64+O64)+M64, IF(A64&lt;=36, 0.35*(S64+T64-1)+0.85*(P64+Q64+R64)+(M64+N64+O64), IF(A64&lt;=54, 0.35*(W64+X64-1)+0.85*(S64+T64+U64)+(M64+N64+O64+P64+Q64+R64), IF(A64&lt;=86, 0.35*(AA64+AB64-1)+0.85*(W64+X64+Y64+Z64)+(M64+N64+O64+P64+Q64+R64+S64+T64+U64+V64), IF(A64&lt;=118, 0.35*(AD64+AE64-1)+0.85*(AA64+AB64+AC64)+(M64+N64+O64+P64+Q64+R64+S64+T64+U64+V64+W64+X64+Y64+Z64), 0))))))))</f>
        <v>61</v>
      </c>
      <c r="AH64" s="26">
        <f t="shared" si="3"/>
        <v>172.96921549859846</v>
      </c>
      <c r="AI64" s="26">
        <f t="shared" si="4"/>
        <v>1.4713236542824129</v>
      </c>
      <c r="AJ64" s="26">
        <f t="shared" si="5"/>
        <v>153.26331558128581</v>
      </c>
      <c r="AK64" s="28">
        <f t="shared" si="6"/>
        <v>4.4332246322457815E-10</v>
      </c>
      <c r="AL64">
        <f t="shared" si="7"/>
        <v>1.3509598617859751E-16</v>
      </c>
      <c r="AM64" s="15">
        <f t="shared" si="8"/>
        <v>0</v>
      </c>
      <c r="AN64">
        <f t="shared" si="9"/>
        <v>3</v>
      </c>
      <c r="AO64" s="28">
        <f t="shared" si="10"/>
        <v>3.9082127923833786E-41</v>
      </c>
      <c r="AP64" s="28">
        <f t="shared" si="11"/>
        <v>3.9082127923833785E-29</v>
      </c>
      <c r="AQ64" s="28">
        <f t="shared" si="12"/>
        <v>5.9217155344822456E+16</v>
      </c>
      <c r="AR64" s="26">
        <f t="shared" si="13"/>
        <v>246.94936492053336</v>
      </c>
      <c r="AS64" s="26">
        <f t="shared" si="14"/>
        <v>5.0625947203019743</v>
      </c>
      <c r="AT64" s="26">
        <f t="shared" si="15"/>
        <v>5907.3741928247182</v>
      </c>
      <c r="AU64" s="26">
        <f t="shared" si="16"/>
        <v>0.16274860957391912</v>
      </c>
      <c r="AV64" s="28">
        <f t="shared" si="17"/>
        <v>0.3512526486771464</v>
      </c>
      <c r="AW64" s="30">
        <f t="shared" si="18"/>
        <v>867747389842.28894</v>
      </c>
      <c r="AY64">
        <v>298.14999999999998</v>
      </c>
      <c r="AZ64" s="26">
        <f t="shared" si="19"/>
        <v>7.6631646559999989E-2</v>
      </c>
    </row>
    <row r="65" spans="1:52" x14ac:dyDescent="0.3">
      <c r="A65">
        <v>65</v>
      </c>
      <c r="B65" t="s">
        <v>467</v>
      </c>
      <c r="C65" t="s">
        <v>91</v>
      </c>
      <c r="D65" t="s">
        <v>241</v>
      </c>
      <c r="E65" s="23">
        <v>159</v>
      </c>
      <c r="F65">
        <f>E65-A65</f>
        <v>94</v>
      </c>
      <c r="G65" s="26">
        <f>(A65 * 1.007276) + (F65 * 1.008665) + (L65 * 0.00054858)</f>
        <v>160.32310770000001</v>
      </c>
      <c r="H65" s="26">
        <f>(G65-(A65*'Atomic Particles'!C1))/'Atomic Particles'!C2+A65</f>
        <v>159.03518748916045</v>
      </c>
      <c r="I65" s="26">
        <f t="shared" si="1"/>
        <v>0.74270485690385923</v>
      </c>
      <c r="J65" s="26">
        <f>(('Atomic Particles'!C1)*A65)+(('Atomic Particles'!C2)*Elements!F65)</f>
        <v>160.287615278901</v>
      </c>
      <c r="K65" s="30">
        <f>(E65^(1/3))*Constants!B2</f>
        <v>6.7718768937214747E-15</v>
      </c>
      <c r="L65" s="24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 s="26">
        <f t="shared" si="2"/>
        <v>62.15</v>
      </c>
      <c r="AH65" s="26">
        <f t="shared" si="3"/>
        <v>155.13064610809209</v>
      </c>
      <c r="AI65" s="26">
        <f t="shared" si="4"/>
        <v>1.7160794918004496</v>
      </c>
      <c r="AJ65" s="26">
        <f t="shared" si="5"/>
        <v>160.32313012350161</v>
      </c>
      <c r="AK65" s="28">
        <f t="shared" si="6"/>
        <v>4.6665522444692403E-10</v>
      </c>
      <c r="AL65">
        <f t="shared" si="7"/>
        <v>1.4969084341118823E-16</v>
      </c>
      <c r="AM65" s="15">
        <f t="shared" si="8"/>
        <v>0</v>
      </c>
      <c r="AN65">
        <f t="shared" si="9"/>
        <v>2.8500000000000014</v>
      </c>
      <c r="AO65" s="28">
        <f t="shared" si="10"/>
        <v>4.5583470387909278E-41</v>
      </c>
      <c r="AP65" s="28">
        <f t="shared" si="11"/>
        <v>4.5583470387909276E-29</v>
      </c>
      <c r="AQ65" s="28">
        <f t="shared" si="12"/>
        <v>5.52585697975088E+16</v>
      </c>
      <c r="AR65" s="26">
        <f>I65 * 350</f>
        <v>259.94669991635072</v>
      </c>
      <c r="AS65" s="26">
        <f t="shared" si="14"/>
        <v>5.4252663269890746</v>
      </c>
      <c r="AT65" s="26">
        <f t="shared" si="15"/>
        <v>5331.4052090243149</v>
      </c>
      <c r="AU65" s="26">
        <f t="shared" si="16"/>
        <v>0.15558198822264971</v>
      </c>
      <c r="AV65" s="28">
        <f t="shared" si="17"/>
        <v>0.40968380076063071</v>
      </c>
      <c r="AW65" s="30">
        <f t="shared" si="18"/>
        <v>743984918366.03394</v>
      </c>
      <c r="AY65">
        <v>298.14999999999998</v>
      </c>
      <c r="AZ65" s="26">
        <f t="shared" si="19"/>
        <v>8.0161553850000011E-2</v>
      </c>
    </row>
    <row r="66" spans="1:52" x14ac:dyDescent="0.3">
      <c r="A66">
        <v>66</v>
      </c>
      <c r="B66" t="s">
        <v>172</v>
      </c>
      <c r="C66" t="s">
        <v>92</v>
      </c>
      <c r="D66" t="s">
        <v>241</v>
      </c>
      <c r="E66" s="23">
        <v>161</v>
      </c>
      <c r="F66">
        <f>E66-A66</f>
        <v>95</v>
      </c>
      <c r="G66" s="26">
        <f t="shared" si="0"/>
        <v>162.33959727999996</v>
      </c>
      <c r="H66" s="26">
        <f>(G66-(A66*'Atomic Particles'!C1))/'Atomic Particles'!C2+A66</f>
        <v>161.03572924173653</v>
      </c>
      <c r="I66" s="26">
        <f t="shared" ref="I66:I118" si="21">(0.529177210544 * (M66^2 / (A66 - AG66))) * (1 + AZ66 * (AY66 - 298.15))</f>
        <v>0.74270485690385923</v>
      </c>
      <c r="J66" s="26">
        <f>(('Atomic Particles'!C1)*A66)+(('Atomic Particles'!C2)*Elements!F66)</f>
        <v>162.30355841154082</v>
      </c>
      <c r="K66" s="30">
        <f>(E66^(1/3))*Constants!B2</f>
        <v>6.800152281768497E-15</v>
      </c>
      <c r="L66" s="24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 s="26">
        <f t="shared" ref="AG66:AG90" si="22">IF(A66=1, 0, IF(A66=2, 0.3, IF(A66&lt;=10, 0.35*(N66+O66-1)+0.85*M66, IF(A66&lt;=18, 0.35*(P66+Q66-1)+0.85*(N66+O66)+M66, IF(A66&lt;=36, 0.35*(S66+T66-1)+0.85*(P66+Q66+R66)+(M66+N66+O66), IF(A66&lt;=54, 0.35*(W66+X66-1)+0.85*(S66+T66+U66)+(M66+N66+O66+P66+Q66+R66), IF(A66&lt;=86, 0.35*(AA66+AB66-1)+0.85*(W66+X66+Y66+Z66)+(M66+N66+O66+P66+Q66+R66+S66+T66+U66+V66), IF(A66&lt;=118, 0.35*(AD66+AE66-1)+0.85*(AA66+AB66+AC66)+(M66+N66+O66+P66+Q66+R66+S66+T66+U66+V66+W66+X66+Y66+Z66), 0))))))))</f>
        <v>63.15</v>
      </c>
      <c r="AH66" s="26">
        <f t="shared" ref="AH66:AH72" si="23">(G66 * 1.6605E-24) / (AI66 * 1E-24)</f>
        <v>157.08182667029143</v>
      </c>
      <c r="AI66" s="26">
        <f t="shared" ref="AI66:AI118" si="24">((4/3) * PI() * (I66^3)) * (1 + 3 * AZ66 * (AY66 - 298.15))</f>
        <v>1.7160794918004496</v>
      </c>
      <c r="AJ66" s="26">
        <f t="shared" ref="AJ66:AJ69" si="25">(A66*1.67262192369E-27 + F66*1.67492749804E-27 + L66*9.1093837015E-31) / 1.6605390666E-27</f>
        <v>162.33962008597882</v>
      </c>
      <c r="AK66" s="28">
        <f t="shared" ref="AK66:AK118" si="26">2 * 3.14159265358979 * (I66 * 0.0000000001)</f>
        <v>4.6665522444692403E-10</v>
      </c>
      <c r="AL66">
        <f t="shared" ref="AL66:AL118" si="27">SQRT( (16 * (3.14159265358979^3) * 8.8541878128E-12 * 9.1093837015E-31 * ((I66 * 0.0000000001)^3)) / (AN66 * (1.602176634E-19^2)) )</f>
        <v>1.4969084341118823E-16</v>
      </c>
      <c r="AM66" s="15">
        <f t="shared" ref="AM66:AM118" si="28">A66 - L66</f>
        <v>0</v>
      </c>
      <c r="AN66">
        <f t="shared" ref="AN66:AN109" si="29">A66-AG66</f>
        <v>2.8500000000000014</v>
      </c>
      <c r="AO66" s="28">
        <f t="shared" ref="AO66:AO81" si="30">4 * PI() * 8.854187817E-12 * (I66 * 0.0000000001)^3</f>
        <v>4.5583470387909278E-41</v>
      </c>
      <c r="AP66" s="28">
        <f t="shared" ref="AP66:AP78" si="31">AO66 * 10^12</f>
        <v>4.5583470387909276E-29</v>
      </c>
      <c r="AQ66" s="28">
        <f t="shared" ref="AQ66:AQ118" si="32">((1 / (2 * 3.14159265358979)) * SQRT((A66 * (1.602176634E-19^2)) / ((AI66 * 1E-30) * 9.1093837015E-31 * 8.8541878128E-12))) * SQRT(((4/3) * PI() * (I66^3)) / AI66)</f>
        <v>5.568201330637916E+16</v>
      </c>
      <c r="AR66" s="26">
        <f t="shared" si="13"/>
        <v>259.94669991635072</v>
      </c>
      <c r="AS66" s="26">
        <f t="shared" ref="AS66:AS98" si="33">299792458000000000 / AQ66</f>
        <v>5.3840089500796582</v>
      </c>
      <c r="AT66" s="26">
        <f t="shared" ref="AT66:AT118" si="34">((1 / (4 * 3.14159265358979 * 8.8541878128E-12)) * ((AN66 * (1.602176634E-19^2)) / (I66 * 0.0000000001))) * 6.02214076E+23 / 1000</f>
        <v>5331.4052090243149</v>
      </c>
      <c r="AU66" s="26">
        <f t="shared" ref="AU66:AU118" si="35">(3 * 8.314462618) / G66</f>
        <v>0.15364943779537757</v>
      </c>
      <c r="AV66" s="28">
        <f t="shared" ref="AV66:AV118" si="36">AO66 / (1.11265005605E-40)</f>
        <v>0.40968380076063071</v>
      </c>
      <c r="AW66" s="30">
        <f t="shared" ref="AW66:AW118" si="37">(8987551792.3 * (AN66 * 1.602176634E-19)) / ((I66 * 0.0000000001)^2)</f>
        <v>743984918366.03394</v>
      </c>
      <c r="AY66">
        <v>298.14999999999998</v>
      </c>
      <c r="AZ66" s="26">
        <f t="shared" ref="AZ66:AZ118" si="38">(3 * 8.314462618) / (2 * AU66 * 1000)</f>
        <v>8.1169798639999985E-2</v>
      </c>
    </row>
    <row r="67" spans="1:52" x14ac:dyDescent="0.3">
      <c r="A67">
        <v>67</v>
      </c>
      <c r="B67" t="s">
        <v>173</v>
      </c>
      <c r="C67" t="s">
        <v>93</v>
      </c>
      <c r="D67" t="s">
        <v>241</v>
      </c>
      <c r="E67" s="23">
        <v>165</v>
      </c>
      <c r="F67">
        <f t="shared" ref="F67:F118" si="39">E67-A67</f>
        <v>98</v>
      </c>
      <c r="G67" s="26">
        <f t="shared" ref="G67:G88" si="40">(A67 * 1.007276) + (F67 * 1.008665) + (L67 * 0.00054858)</f>
        <v>166.37341685999999</v>
      </c>
      <c r="H67" s="26">
        <f>(G67-(A67*'Atomic Particles'!C1))/'Atomic Particles'!C2+A67</f>
        <v>165.03626917167207</v>
      </c>
      <c r="I67" s="26">
        <f t="shared" si="21"/>
        <v>0.74270485690386112</v>
      </c>
      <c r="J67" s="26">
        <f>(('Atomic Particles'!C1)*A67)+(('Atomic Particles'!C2)*Elements!F67)</f>
        <v>166.33683338261611</v>
      </c>
      <c r="K67" s="30">
        <f>(E67^(1/3))*Constants!B2</f>
        <v>6.8560081905407723E-15</v>
      </c>
      <c r="L67" s="24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 s="26">
        <f t="shared" si="22"/>
        <v>64.150000000000006</v>
      </c>
      <c r="AH67" s="26">
        <f t="shared" si="23"/>
        <v>160.98500099560226</v>
      </c>
      <c r="AI67" s="26">
        <f t="shared" si="24"/>
        <v>1.7160794918004623</v>
      </c>
      <c r="AJ67" s="26">
        <f t="shared" si="25"/>
        <v>166.3734398803515</v>
      </c>
      <c r="AK67" s="28">
        <f t="shared" si="26"/>
        <v>4.6665522444692527E-10</v>
      </c>
      <c r="AL67">
        <f t="shared" si="27"/>
        <v>1.4969084341118899E-16</v>
      </c>
      <c r="AM67" s="15">
        <f t="shared" si="28"/>
        <v>0</v>
      </c>
      <c r="AN67">
        <f t="shared" si="29"/>
        <v>2.8499999999999943</v>
      </c>
      <c r="AO67" s="28">
        <f t="shared" si="30"/>
        <v>4.558347038790963E-41</v>
      </c>
      <c r="AP67" s="28">
        <f t="shared" si="31"/>
        <v>4.5583470387909629E-29</v>
      </c>
      <c r="AQ67" s="28">
        <f t="shared" si="32"/>
        <v>5.6102260878126784E+16</v>
      </c>
      <c r="AR67" s="26">
        <f t="shared" ref="AR67:AR118" si="41">I67 * 350</f>
        <v>259.94669991635141</v>
      </c>
      <c r="AS67" s="26">
        <f t="shared" si="33"/>
        <v>5.3436787271595225</v>
      </c>
      <c r="AT67" s="26">
        <f t="shared" si="34"/>
        <v>5331.4052090242867</v>
      </c>
      <c r="AU67" s="26">
        <f t="shared" si="35"/>
        <v>0.14992411843647702</v>
      </c>
      <c r="AV67" s="28">
        <f t="shared" si="36"/>
        <v>0.40968380076063388</v>
      </c>
      <c r="AW67" s="30">
        <f t="shared" si="37"/>
        <v>743984918366.0282</v>
      </c>
      <c r="AY67">
        <v>298.14999999999998</v>
      </c>
      <c r="AZ67" s="26">
        <f t="shared" si="38"/>
        <v>8.3186708429999992E-2</v>
      </c>
    </row>
    <row r="68" spans="1:52" x14ac:dyDescent="0.3">
      <c r="A68">
        <v>68</v>
      </c>
      <c r="B68" t="s">
        <v>174</v>
      </c>
      <c r="C68" t="s">
        <v>94</v>
      </c>
      <c r="D68" t="s">
        <v>241</v>
      </c>
      <c r="E68" s="23">
        <v>166</v>
      </c>
      <c r="F68">
        <f t="shared" si="39"/>
        <v>98</v>
      </c>
      <c r="G68" s="26">
        <f t="shared" si="40"/>
        <v>167.38124143999997</v>
      </c>
      <c r="H68" s="26">
        <f>(G68-(A68*'Atomic Particles'!C1))/'Atomic Particles'!C2+A68</f>
        <v>166.03681183556853</v>
      </c>
      <c r="I68" s="26">
        <f t="shared" si="21"/>
        <v>0.74270485690386112</v>
      </c>
      <c r="J68" s="26">
        <f>(('Atomic Particles'!C1)*A68)+(('Atomic Particles'!C2)*Elements!F68)</f>
        <v>167.34411059603815</v>
      </c>
      <c r="K68" s="30">
        <f>(E68^(1/3))*Constants!B2</f>
        <v>6.8698308251187667E-15</v>
      </c>
      <c r="L68" s="24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 s="26">
        <f t="shared" si="22"/>
        <v>65.150000000000006</v>
      </c>
      <c r="AH68" s="26">
        <f t="shared" si="23"/>
        <v>161.96018467624526</v>
      </c>
      <c r="AI68" s="26">
        <f t="shared" si="24"/>
        <v>1.7160794918004623</v>
      </c>
      <c r="AJ68" s="26">
        <f t="shared" si="25"/>
        <v>167.38126492688096</v>
      </c>
      <c r="AK68" s="28">
        <f t="shared" si="26"/>
        <v>4.6665522444692527E-10</v>
      </c>
      <c r="AL68">
        <f t="shared" si="27"/>
        <v>1.4969084341118899E-16</v>
      </c>
      <c r="AM68" s="15">
        <f t="shared" si="28"/>
        <v>0</v>
      </c>
      <c r="AN68">
        <f t="shared" si="29"/>
        <v>2.8499999999999943</v>
      </c>
      <c r="AO68" s="28">
        <f t="shared" si="30"/>
        <v>4.558347038790963E-41</v>
      </c>
      <c r="AP68" s="28">
        <f t="shared" si="31"/>
        <v>4.5583470387909629E-29</v>
      </c>
      <c r="AQ68" s="28">
        <f t="shared" si="32"/>
        <v>5.6519383802577216E+16</v>
      </c>
      <c r="AR68" s="26">
        <f t="shared" si="41"/>
        <v>259.94669991635141</v>
      </c>
      <c r="AS68" s="26">
        <f t="shared" si="33"/>
        <v>5.3042414447966753</v>
      </c>
      <c r="AT68" s="26">
        <f t="shared" si="34"/>
        <v>5331.4052090242867</v>
      </c>
      <c r="AU68" s="26">
        <f t="shared" si="35"/>
        <v>0.14902140550165111</v>
      </c>
      <c r="AV68" s="28">
        <f t="shared" si="36"/>
        <v>0.40968380076063388</v>
      </c>
      <c r="AW68" s="30">
        <f t="shared" si="37"/>
        <v>743984918366.0282</v>
      </c>
      <c r="AY68">
        <v>298.14999999999998</v>
      </c>
      <c r="AZ68" s="26">
        <f t="shared" si="38"/>
        <v>8.369062071999997E-2</v>
      </c>
    </row>
    <row r="69" spans="1:52" x14ac:dyDescent="0.3">
      <c r="A69">
        <v>69</v>
      </c>
      <c r="B69" t="s">
        <v>175</v>
      </c>
      <c r="C69" t="s">
        <v>95</v>
      </c>
      <c r="D69" t="s">
        <v>241</v>
      </c>
      <c r="E69" s="23">
        <v>169</v>
      </c>
      <c r="F69">
        <f t="shared" si="39"/>
        <v>100</v>
      </c>
      <c r="G69" s="26">
        <f t="shared" si="40"/>
        <v>170.40639601999999</v>
      </c>
      <c r="H69" s="26">
        <f>(G69-(A69*'Atomic Particles'!C1))/'Atomic Particles'!C2+A69</f>
        <v>169.03735267682438</v>
      </c>
      <c r="I69" s="26">
        <f t="shared" si="21"/>
        <v>0.74270485690386112</v>
      </c>
      <c r="J69" s="26">
        <f>(('Atomic Particles'!C1)*A69)+(('Atomic Particles'!C2)*Elements!F69)</f>
        <v>170.36871964789566</v>
      </c>
      <c r="K69" s="30">
        <f>(E69^(1/3))*Constants!B2</f>
        <v>6.9109685170985891E-15</v>
      </c>
      <c r="L69" s="24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 s="26">
        <f t="shared" si="22"/>
        <v>66.150000000000006</v>
      </c>
      <c r="AH69" s="26">
        <f t="shared" si="23"/>
        <v>164.88736212000094</v>
      </c>
      <c r="AI69" s="26">
        <f t="shared" si="24"/>
        <v>1.7160794918004623</v>
      </c>
      <c r="AJ69" s="26">
        <f t="shared" si="25"/>
        <v>170.40641980530586</v>
      </c>
      <c r="AK69" s="28">
        <f t="shared" si="26"/>
        <v>4.6665522444692527E-10</v>
      </c>
      <c r="AL69">
        <f t="shared" si="27"/>
        <v>1.4969084341118899E-16</v>
      </c>
      <c r="AM69" s="15">
        <f t="shared" si="28"/>
        <v>0</v>
      </c>
      <c r="AN69">
        <f t="shared" si="29"/>
        <v>2.8499999999999943</v>
      </c>
      <c r="AO69" s="28">
        <f t="shared" si="30"/>
        <v>4.558347038790963E-41</v>
      </c>
      <c r="AP69" s="28">
        <f t="shared" si="31"/>
        <v>4.5583470387909629E-29</v>
      </c>
      <c r="AQ69" s="28">
        <f t="shared" si="32"/>
        <v>5.693345075795652E+16</v>
      </c>
      <c r="AR69" s="26">
        <f t="shared" si="41"/>
        <v>259.94669991635141</v>
      </c>
      <c r="AS69" s="26">
        <f t="shared" si="33"/>
        <v>5.2656646314048272</v>
      </c>
      <c r="AT69" s="26">
        <f t="shared" si="34"/>
        <v>5331.4052090242867</v>
      </c>
      <c r="AU69" s="26">
        <f t="shared" si="35"/>
        <v>0.14637588985258795</v>
      </c>
      <c r="AV69" s="28">
        <f t="shared" si="36"/>
        <v>0.40968380076063388</v>
      </c>
      <c r="AW69" s="30">
        <f t="shared" si="37"/>
        <v>743984918366.0282</v>
      </c>
      <c r="AY69">
        <v>298.14999999999998</v>
      </c>
      <c r="AZ69" s="26">
        <f t="shared" si="38"/>
        <v>8.5203198009999995E-2</v>
      </c>
    </row>
    <row r="70" spans="1:52" x14ac:dyDescent="0.3">
      <c r="A70">
        <v>70</v>
      </c>
      <c r="B70" t="s">
        <v>176</v>
      </c>
      <c r="C70" t="s">
        <v>96</v>
      </c>
      <c r="D70" t="s">
        <v>241</v>
      </c>
      <c r="E70" s="23">
        <v>171</v>
      </c>
      <c r="F70">
        <f t="shared" si="39"/>
        <v>101</v>
      </c>
      <c r="G70" s="26">
        <f t="shared" si="40"/>
        <v>172.42288559999997</v>
      </c>
      <c r="H70" s="26">
        <f>(G70-(A70*'Atomic Particles'!C1))/'Atomic Particles'!C2+A70</f>
        <v>171.03789442940052</v>
      </c>
      <c r="I70" s="26">
        <f t="shared" si="21"/>
        <v>0.74270485690386112</v>
      </c>
      <c r="J70" s="26">
        <f>(('Atomic Particles'!C1)*A70)+(('Atomic Particles'!C2)*Elements!F70)</f>
        <v>172.38466278053548</v>
      </c>
      <c r="K70" s="30">
        <f>(E70^(1/3))*Constants!B2</f>
        <v>6.9381238786394336E-15</v>
      </c>
      <c r="L70" s="24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 s="26">
        <f t="shared" si="22"/>
        <v>67.150000000000006</v>
      </c>
      <c r="AH70" s="26">
        <f t="shared" si="23"/>
        <v>166.83854268220028</v>
      </c>
      <c r="AI70" s="26">
        <f t="shared" si="24"/>
        <v>1.7160794918004623</v>
      </c>
      <c r="AJ70" s="26">
        <f>(A70*1.67262192369E-27 + F70*1.67492749804E-27 + L70*9.1093837015E-31) / 1.6605390666E-27</f>
        <v>172.42290976778307</v>
      </c>
      <c r="AK70" s="28">
        <f t="shared" si="26"/>
        <v>4.6665522444692527E-10</v>
      </c>
      <c r="AL70">
        <f t="shared" si="27"/>
        <v>1.4969084341118899E-16</v>
      </c>
      <c r="AM70" s="15">
        <f t="shared" si="28"/>
        <v>0</v>
      </c>
      <c r="AN70">
        <f t="shared" si="29"/>
        <v>2.8499999999999943</v>
      </c>
      <c r="AO70" s="28">
        <f t="shared" si="30"/>
        <v>4.558347038790963E-41</v>
      </c>
      <c r="AP70" s="28">
        <f t="shared" si="31"/>
        <v>4.5583470387909629E-29</v>
      </c>
      <c r="AQ70" s="28">
        <f t="shared" si="32"/>
        <v>5.7344527942902216E+16</v>
      </c>
      <c r="AR70" s="26">
        <f t="shared" si="41"/>
        <v>259.94669991635141</v>
      </c>
      <c r="AS70" s="26">
        <f t="shared" si="33"/>
        <v>5.2279174448606938</v>
      </c>
      <c r="AT70" s="26">
        <f t="shared" si="34"/>
        <v>5331.4052090242867</v>
      </c>
      <c r="AU70" s="26">
        <f t="shared" si="35"/>
        <v>0.14466402048197716</v>
      </c>
      <c r="AV70" s="28">
        <f t="shared" si="36"/>
        <v>0.40968380076063388</v>
      </c>
      <c r="AW70" s="30">
        <f t="shared" si="37"/>
        <v>743984918366.0282</v>
      </c>
      <c r="AY70">
        <v>298.14999999999998</v>
      </c>
      <c r="AZ70" s="26">
        <f t="shared" si="38"/>
        <v>8.6211442799999982E-2</v>
      </c>
    </row>
    <row r="71" spans="1:52" x14ac:dyDescent="0.3">
      <c r="A71">
        <v>71</v>
      </c>
      <c r="B71" t="s">
        <v>177</v>
      </c>
      <c r="C71" t="s">
        <v>97</v>
      </c>
      <c r="D71" t="s">
        <v>241</v>
      </c>
      <c r="E71" s="23">
        <v>175</v>
      </c>
      <c r="F71">
        <f t="shared" si="39"/>
        <v>104</v>
      </c>
      <c r="G71" s="26">
        <f t="shared" si="40"/>
        <v>176.45670518</v>
      </c>
      <c r="H71" s="26">
        <f>(G71-(A71*'Atomic Particles'!C1))/'Atomic Particles'!C2+A71</f>
        <v>175.03843435933607</v>
      </c>
      <c r="I71" s="26">
        <f t="shared" si="21"/>
        <v>0.70556961405866669</v>
      </c>
      <c r="J71" s="26">
        <f>(('Atomic Particles'!C1)*A71)+(('Atomic Particles'!C2)*Elements!F71)</f>
        <v>176.41793775161076</v>
      </c>
      <c r="K71" s="30">
        <f>(E71^(1/3))*Constants!B2</f>
        <v>6.9918058880087307E-15</v>
      </c>
      <c r="L71" s="24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 s="26">
        <f t="shared" si="22"/>
        <v>68</v>
      </c>
      <c r="AH71" s="26">
        <f t="shared" si="23"/>
        <v>199.14473480975451</v>
      </c>
      <c r="AI71" s="26">
        <f t="shared" si="24"/>
        <v>1.4713236542824129</v>
      </c>
      <c r="AJ71" s="26">
        <f t="shared" ref="AJ71:AJ107" si="42">(A71*1.67262192369E-27 + F71*1.67492749804E-27 + L71*9.1093837015E-31) / 1.6605390666E-27</f>
        <v>176.45672956215572</v>
      </c>
      <c r="AK71" s="28">
        <f t="shared" si="26"/>
        <v>4.4332246322457815E-10</v>
      </c>
      <c r="AL71">
        <f t="shared" si="27"/>
        <v>1.3509598617859751E-16</v>
      </c>
      <c r="AM71" s="15">
        <f t="shared" si="28"/>
        <v>0</v>
      </c>
      <c r="AN71">
        <f t="shared" si="29"/>
        <v>3</v>
      </c>
      <c r="AO71" s="28">
        <f t="shared" si="30"/>
        <v>3.9082127923833786E-41</v>
      </c>
      <c r="AP71" s="28">
        <f t="shared" si="31"/>
        <v>3.9082127923833785E-29</v>
      </c>
      <c r="AQ71" s="28">
        <f t="shared" si="32"/>
        <v>6.2371577509615624E+16</v>
      </c>
      <c r="AR71" s="26">
        <f t="shared" si="41"/>
        <v>246.94936492053336</v>
      </c>
      <c r="AS71" s="26">
        <f t="shared" si="33"/>
        <v>4.8065556455387384</v>
      </c>
      <c r="AT71" s="26">
        <f t="shared" si="34"/>
        <v>5907.3741928247182</v>
      </c>
      <c r="AU71" s="26">
        <f t="shared" si="35"/>
        <v>0.14135698515143272</v>
      </c>
      <c r="AV71" s="28">
        <f t="shared" si="36"/>
        <v>0.3512526486771464</v>
      </c>
      <c r="AW71" s="30">
        <f t="shared" si="37"/>
        <v>867747389842.28894</v>
      </c>
      <c r="AY71">
        <v>298.14999999999998</v>
      </c>
      <c r="AZ71" s="26">
        <f t="shared" si="38"/>
        <v>8.8228352590000003E-2</v>
      </c>
    </row>
    <row r="72" spans="1:52" x14ac:dyDescent="0.3">
      <c r="A72">
        <v>72</v>
      </c>
      <c r="B72" t="s">
        <v>179</v>
      </c>
      <c r="C72" t="s">
        <v>17</v>
      </c>
      <c r="D72" t="s">
        <v>240</v>
      </c>
      <c r="E72" s="23">
        <v>177</v>
      </c>
      <c r="F72">
        <f t="shared" si="39"/>
        <v>105</v>
      </c>
      <c r="G72" s="26">
        <f t="shared" si="40"/>
        <v>178.47319475999998</v>
      </c>
      <c r="H72" s="26">
        <f>(G72-(A72*'Atomic Particles'!C1))/'Atomic Particles'!C2+A72</f>
        <v>177.03897611191218</v>
      </c>
      <c r="I72" s="26">
        <f t="shared" si="21"/>
        <v>0.67197106100825277</v>
      </c>
      <c r="J72" s="26">
        <f>(('Atomic Particles'!C1)*A72)+(('Atomic Particles'!C2)*Elements!F72)</f>
        <v>178.43388088425056</v>
      </c>
      <c r="K72" s="30">
        <f>(E72^(1/3))*Constants!B2</f>
        <v>7.0183405100018628E-15</v>
      </c>
      <c r="L72" s="24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 s="26">
        <f t="shared" si="22"/>
        <v>68.849999999999994</v>
      </c>
      <c r="AH72" s="26">
        <f t="shared" si="23"/>
        <v>233.16940142777628</v>
      </c>
      <c r="AI72" s="26">
        <f t="shared" si="24"/>
        <v>1.2709846921778682</v>
      </c>
      <c r="AJ72" s="26">
        <f t="shared" si="42"/>
        <v>178.47321952463292</v>
      </c>
      <c r="AK72" s="28">
        <f t="shared" si="26"/>
        <v>4.2221186973769275E-10</v>
      </c>
      <c r="AL72">
        <f t="shared" si="27"/>
        <v>1.2253604188534881E-16</v>
      </c>
      <c r="AM72" s="15">
        <f t="shared" si="28"/>
        <v>0</v>
      </c>
      <c r="AN72">
        <f t="shared" si="29"/>
        <v>3.1500000000000057</v>
      </c>
      <c r="AO72" s="28">
        <f t="shared" si="30"/>
        <v>3.3760611531224347E-41</v>
      </c>
      <c r="AP72" s="28">
        <f t="shared" si="31"/>
        <v>3.3760611531224349E-29</v>
      </c>
      <c r="AQ72" s="28">
        <f t="shared" si="32"/>
        <v>6.7578376000231696E+16</v>
      </c>
      <c r="AR72" s="26">
        <f t="shared" si="41"/>
        <v>235.18987135288847</v>
      </c>
      <c r="AS72" s="26">
        <f t="shared" si="33"/>
        <v>4.4362187395413608</v>
      </c>
      <c r="AT72" s="26">
        <f t="shared" si="34"/>
        <v>6512.880047589274</v>
      </c>
      <c r="AU72" s="26">
        <f t="shared" si="35"/>
        <v>0.13975985518465317</v>
      </c>
      <c r="AV72" s="28">
        <f t="shared" si="36"/>
        <v>0.30342524451108482</v>
      </c>
      <c r="AW72" s="30">
        <f t="shared" si="37"/>
        <v>1004526072166.1851</v>
      </c>
      <c r="AY72">
        <v>298.14999999999998</v>
      </c>
      <c r="AZ72" s="26">
        <f t="shared" si="38"/>
        <v>8.9236597380000005E-2</v>
      </c>
    </row>
    <row r="73" spans="1:52" x14ac:dyDescent="0.3">
      <c r="A73">
        <v>73</v>
      </c>
      <c r="B73" t="s">
        <v>180</v>
      </c>
      <c r="C73" t="s">
        <v>20</v>
      </c>
      <c r="D73" t="s">
        <v>240</v>
      </c>
      <c r="E73" s="23">
        <v>180</v>
      </c>
      <c r="F73">
        <f t="shared" si="39"/>
        <v>107</v>
      </c>
      <c r="G73" s="26">
        <f t="shared" si="40"/>
        <v>181.49834934</v>
      </c>
      <c r="H73" s="26">
        <f>(G73-(A73*'Atomic Particles'!C1))/'Atomic Particles'!C2+A73</f>
        <v>180.03951695316803</v>
      </c>
      <c r="I73" s="26">
        <f t="shared" si="21"/>
        <v>0.64142692187151573</v>
      </c>
      <c r="J73" s="26">
        <f>(('Atomic Particles'!C1)*A73)+(('Atomic Particles'!C2)*Elements!F73)</f>
        <v>181.45848993610809</v>
      </c>
      <c r="K73" s="30">
        <f>(E73^(1/3))*Constants!B2</f>
        <v>7.0577702166077138E-15</v>
      </c>
      <c r="L73" s="24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 s="26">
        <f t="shared" si="22"/>
        <v>69.7</v>
      </c>
      <c r="AH73" s="26">
        <f>(G73 * 1.6605E-24) / (AI73 * 1E-24)</f>
        <v>272.63486787336439</v>
      </c>
      <c r="AI73" s="26">
        <f t="shared" si="24"/>
        <v>1.1054272383789756</v>
      </c>
      <c r="AJ73" s="26">
        <f t="shared" si="42"/>
        <v>181.49837440305782</v>
      </c>
      <c r="AK73" s="28">
        <f t="shared" si="26"/>
        <v>4.0302042111325325E-10</v>
      </c>
      <c r="AL73">
        <f t="shared" si="27"/>
        <v>1.1164957535421304E-16</v>
      </c>
      <c r="AM73" s="15">
        <f t="shared" si="28"/>
        <v>0</v>
      </c>
      <c r="AN73">
        <f t="shared" si="29"/>
        <v>3.2999999999999972</v>
      </c>
      <c r="AO73" s="28">
        <f t="shared" si="30"/>
        <v>2.9362981159905259E-41</v>
      </c>
      <c r="AP73" s="28">
        <f t="shared" si="31"/>
        <v>2.936298115990526E-29</v>
      </c>
      <c r="AQ73" s="28">
        <f t="shared" si="32"/>
        <v>7.2963895363593904E+16</v>
      </c>
      <c r="AR73" s="26">
        <f t="shared" si="41"/>
        <v>224.49942265503051</v>
      </c>
      <c r="AS73" s="26">
        <f t="shared" si="33"/>
        <v>4.1087781361736972</v>
      </c>
      <c r="AT73" s="26">
        <f t="shared" si="34"/>
        <v>7147.9227733178968</v>
      </c>
      <c r="AU73" s="26">
        <f t="shared" si="35"/>
        <v>0.13743038404869276</v>
      </c>
      <c r="AV73" s="28">
        <f t="shared" si="36"/>
        <v>0.26390131380702281</v>
      </c>
      <c r="AW73" s="30">
        <f t="shared" si="37"/>
        <v>1154971775880.0835</v>
      </c>
      <c r="AY73">
        <v>298.14999999999998</v>
      </c>
      <c r="AZ73" s="26">
        <f t="shared" si="38"/>
        <v>9.0749174670000002E-2</v>
      </c>
    </row>
    <row r="74" spans="1:52" x14ac:dyDescent="0.3">
      <c r="A74">
        <v>74</v>
      </c>
      <c r="B74" t="s">
        <v>181</v>
      </c>
      <c r="C74" t="s">
        <v>25</v>
      </c>
      <c r="D74" t="s">
        <v>240</v>
      </c>
      <c r="E74" s="23">
        <v>180</v>
      </c>
      <c r="F74">
        <f t="shared" si="39"/>
        <v>106</v>
      </c>
      <c r="G74" s="26">
        <f t="shared" si="40"/>
        <v>181.49750891999997</v>
      </c>
      <c r="H74" s="26">
        <f>(G74-(A74*'Atomic Particles'!C1))/'Atomic Particles'!C2+A74</f>
        <v>180.0400605283848</v>
      </c>
      <c r="I74" s="26">
        <f t="shared" si="21"/>
        <v>0.61353879483362272</v>
      </c>
      <c r="J74" s="26">
        <f>(('Atomic Particles'!C1)*A74)+(('Atomic Particles'!C2)*Elements!F74)</f>
        <v>181.45710123031236</v>
      </c>
      <c r="K74" s="30">
        <f>(E74^(1/3))*Constants!B2</f>
        <v>7.0577702166077138E-15</v>
      </c>
      <c r="L74" s="24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 s="26">
        <f t="shared" si="22"/>
        <v>70.55</v>
      </c>
      <c r="AH74" s="26">
        <f t="shared" ref="AH74:AH101" si="43">(G74 * 1.6605E-24) / (AI74 * 1E-24)</f>
        <v>311.5263972114538</v>
      </c>
      <c r="AI74" s="26">
        <f t="shared" si="24"/>
        <v>0.96741918585183484</v>
      </c>
      <c r="AJ74" s="26">
        <f t="shared" si="42"/>
        <v>181.49753453363957</v>
      </c>
      <c r="AK74" s="28">
        <f t="shared" si="26"/>
        <v>3.8549779410832852E-10</v>
      </c>
      <c r="AL74">
        <f t="shared" si="27"/>
        <v>1.0215197442616055E-16</v>
      </c>
      <c r="AM74" s="15">
        <f t="shared" si="28"/>
        <v>0</v>
      </c>
      <c r="AN74">
        <f t="shared" si="29"/>
        <v>3.4500000000000028</v>
      </c>
      <c r="AO74" s="28">
        <f t="shared" si="30"/>
        <v>2.5697133507904133E-41</v>
      </c>
      <c r="AP74" s="28">
        <f t="shared" si="31"/>
        <v>2.5697133507904134E-29</v>
      </c>
      <c r="AQ74" s="28">
        <f t="shared" si="32"/>
        <v>7.8527211232346672E+16</v>
      </c>
      <c r="AR74" s="26">
        <f t="shared" si="41"/>
        <v>214.73857819176794</v>
      </c>
      <c r="AS74" s="26">
        <f t="shared" si="33"/>
        <v>3.8176888405341773</v>
      </c>
      <c r="AT74" s="26">
        <f t="shared" si="34"/>
        <v>7812.5023700107022</v>
      </c>
      <c r="AU74" s="26">
        <f t="shared" si="35"/>
        <v>0.13743102041689445</v>
      </c>
      <c r="AV74" s="28">
        <f t="shared" si="36"/>
        <v>0.23095431818995354</v>
      </c>
      <c r="AW74" s="30">
        <f t="shared" si="37"/>
        <v>1319735311526.3943</v>
      </c>
      <c r="AY74">
        <v>298.14999999999998</v>
      </c>
      <c r="AZ74" s="26">
        <f t="shared" si="38"/>
        <v>9.0748754459999997E-2</v>
      </c>
    </row>
    <row r="75" spans="1:52" x14ac:dyDescent="0.3">
      <c r="A75">
        <v>75</v>
      </c>
      <c r="B75" t="s">
        <v>182</v>
      </c>
      <c r="C75" t="s">
        <v>28</v>
      </c>
      <c r="D75" t="s">
        <v>240</v>
      </c>
      <c r="E75" s="23">
        <v>185</v>
      </c>
      <c r="F75">
        <f t="shared" si="39"/>
        <v>110</v>
      </c>
      <c r="G75" s="26">
        <f t="shared" si="40"/>
        <v>186.53999350000001</v>
      </c>
      <c r="H75" s="26">
        <f>(G75-(A75*'Atomic Particles'!C1))/'Atomic Particles'!C2+A75</f>
        <v>185.040599547</v>
      </c>
      <c r="I75" s="26">
        <f t="shared" si="21"/>
        <v>0.58797467838222317</v>
      </c>
      <c r="J75" s="26">
        <f>(('Atomic Particles'!C1)*A75)+(('Atomic Particles'!C2)*Elements!F75)</f>
        <v>186.49904212060542</v>
      </c>
      <c r="K75" s="30">
        <f>(E75^(1/3))*Constants!B2</f>
        <v>7.1225240191313289E-15</v>
      </c>
      <c r="L75" s="24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 s="26">
        <f t="shared" si="22"/>
        <v>71.400000000000006</v>
      </c>
      <c r="AH75" s="26">
        <f t="shared" si="43"/>
        <v>363.78631550670605</v>
      </c>
      <c r="AI75" s="26">
        <f t="shared" si="24"/>
        <v>0.85146044808010402</v>
      </c>
      <c r="AJ75" s="26">
        <f t="shared" si="42"/>
        <v>186.54001924395993</v>
      </c>
      <c r="AK75" s="28">
        <f t="shared" si="26"/>
        <v>3.6943538602048242E-10</v>
      </c>
      <c r="AL75">
        <f t="shared" si="27"/>
        <v>9.3816657068470811E-17</v>
      </c>
      <c r="AM75" s="15">
        <f t="shared" si="28"/>
        <v>0</v>
      </c>
      <c r="AN75">
        <f t="shared" si="29"/>
        <v>3.5999999999999943</v>
      </c>
      <c r="AO75" s="28">
        <f t="shared" si="30"/>
        <v>2.2616972178144663E-41</v>
      </c>
      <c r="AP75" s="28">
        <f t="shared" si="31"/>
        <v>2.2616972178144664E-29</v>
      </c>
      <c r="AQ75" s="28">
        <f t="shared" si="32"/>
        <v>8.4267489350543472E+16</v>
      </c>
      <c r="AR75" s="26">
        <f t="shared" si="41"/>
        <v>205.79113743377812</v>
      </c>
      <c r="AS75" s="26">
        <f t="shared" si="33"/>
        <v>3.5576289303327457</v>
      </c>
      <c r="AT75" s="26">
        <f t="shared" si="34"/>
        <v>8506.6188376675655</v>
      </c>
      <c r="AU75" s="26">
        <f t="shared" si="35"/>
        <v>0.13371603261045464</v>
      </c>
      <c r="AV75" s="28">
        <f t="shared" si="36"/>
        <v>0.20327120872520144</v>
      </c>
      <c r="AW75" s="30">
        <f t="shared" si="37"/>
        <v>1499467489647.468</v>
      </c>
      <c r="AY75">
        <v>298.14999999999998</v>
      </c>
      <c r="AZ75" s="26">
        <f t="shared" si="38"/>
        <v>9.3269996750000014E-2</v>
      </c>
    </row>
    <row r="76" spans="1:52" x14ac:dyDescent="0.3">
      <c r="A76">
        <v>76</v>
      </c>
      <c r="B76" t="s">
        <v>183</v>
      </c>
      <c r="C76" t="s">
        <v>33</v>
      </c>
      <c r="D76" t="s">
        <v>240</v>
      </c>
      <c r="E76" s="23">
        <v>188</v>
      </c>
      <c r="F76">
        <f>E76-A76</f>
        <v>112</v>
      </c>
      <c r="G76" s="26">
        <f t="shared" si="40"/>
        <v>189.56514808</v>
      </c>
      <c r="H76" s="26">
        <f>(G76-(A76*'Atomic Particles'!C1))/'Atomic Particles'!C2+A76</f>
        <v>188.04114038825583</v>
      </c>
      <c r="I76" s="26">
        <f t="shared" si="21"/>
        <v>0.5644556912469334</v>
      </c>
      <c r="J76" s="26">
        <f>(('Atomic Particles'!C1)*A76)+(('Atomic Particles'!C2)*Elements!F76)</f>
        <v>189.52365117246296</v>
      </c>
      <c r="K76" s="30">
        <f>(E76^(1/3))*Constants!B2</f>
        <v>7.1608178949780459E-15</v>
      </c>
      <c r="L76" s="24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 s="26">
        <f t="shared" si="22"/>
        <v>72.25</v>
      </c>
      <c r="AH76" s="26">
        <f t="shared" si="43"/>
        <v>417.84883561556677</v>
      </c>
      <c r="AI76" s="26">
        <f t="shared" si="24"/>
        <v>0.75331771099259548</v>
      </c>
      <c r="AJ76" s="26">
        <f t="shared" si="42"/>
        <v>189.56517412238486</v>
      </c>
      <c r="AK76" s="28">
        <f t="shared" si="26"/>
        <v>3.5465797057966253E-10</v>
      </c>
      <c r="AL76">
        <f t="shared" si="27"/>
        <v>8.6461431154302426E-17</v>
      </c>
      <c r="AM76" s="15">
        <f t="shared" si="28"/>
        <v>0</v>
      </c>
      <c r="AN76">
        <f t="shared" si="29"/>
        <v>3.75</v>
      </c>
      <c r="AO76" s="28">
        <f t="shared" si="30"/>
        <v>2.0010049497002903E-41</v>
      </c>
      <c r="AP76" s="28">
        <f t="shared" si="31"/>
        <v>2.0010049497002904E-29</v>
      </c>
      <c r="AQ76" s="28">
        <f t="shared" si="32"/>
        <v>9.0183974192279584E+16</v>
      </c>
      <c r="AR76" s="26">
        <f t="shared" si="41"/>
        <v>197.5594919364267</v>
      </c>
      <c r="AS76" s="26">
        <f t="shared" si="33"/>
        <v>3.32423205658267</v>
      </c>
      <c r="AT76" s="26">
        <f t="shared" si="34"/>
        <v>9230.2721762886213</v>
      </c>
      <c r="AU76" s="26">
        <f t="shared" si="35"/>
        <v>0.13158214000114318</v>
      </c>
      <c r="AV76" s="28">
        <f t="shared" si="36"/>
        <v>0.179841356122699</v>
      </c>
      <c r="AW76" s="30">
        <f t="shared" si="37"/>
        <v>1694819120785.7205</v>
      </c>
      <c r="AY76">
        <v>298.14999999999998</v>
      </c>
      <c r="AZ76" s="26">
        <f t="shared" si="38"/>
        <v>9.4782574039999998E-2</v>
      </c>
    </row>
    <row r="77" spans="1:52" x14ac:dyDescent="0.3">
      <c r="A77">
        <v>77</v>
      </c>
      <c r="B77" t="s">
        <v>184</v>
      </c>
      <c r="C77" t="s">
        <v>36</v>
      </c>
      <c r="D77" t="s">
        <v>240</v>
      </c>
      <c r="E77" s="23">
        <v>193</v>
      </c>
      <c r="F77">
        <f>E77-A77</f>
        <v>116</v>
      </c>
      <c r="G77" s="26">
        <f t="shared" si="40"/>
        <v>194.60763266000001</v>
      </c>
      <c r="H77" s="26">
        <f>(G77-(A77*'Atomic Particles'!C1))/'Atomic Particles'!C2+A77</f>
        <v>193.04167940687103</v>
      </c>
      <c r="I77" s="26">
        <f t="shared" si="21"/>
        <v>0.54274585696820443</v>
      </c>
      <c r="J77" s="26">
        <f>(('Atomic Particles'!C1)*A77)+(('Atomic Particles'!C2)*Elements!F77)</f>
        <v>194.56559206275602</v>
      </c>
      <c r="K77" s="30">
        <f>(E77^(1/3))*Constants!B2</f>
        <v>7.2237457064401617E-15</v>
      </c>
      <c r="L77" s="24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 s="26">
        <f t="shared" si="22"/>
        <v>73.099999999999994</v>
      </c>
      <c r="AH77" s="26">
        <f t="shared" si="43"/>
        <v>482.52585546475672</v>
      </c>
      <c r="AI77" s="26">
        <f t="shared" si="24"/>
        <v>0.6696967019947232</v>
      </c>
      <c r="AJ77" s="26">
        <f t="shared" si="42"/>
        <v>194.6076588327052</v>
      </c>
      <c r="AK77" s="28">
        <f t="shared" si="26"/>
        <v>3.4101727940352121E-10</v>
      </c>
      <c r="AL77">
        <f t="shared" si="27"/>
        <v>7.9938453360116658E-17</v>
      </c>
      <c r="AM77" s="15">
        <f t="shared" si="28"/>
        <v>0</v>
      </c>
      <c r="AN77">
        <f t="shared" si="29"/>
        <v>3.9000000000000057</v>
      </c>
      <c r="AO77" s="28">
        <f t="shared" si="30"/>
        <v>1.7788861139660279E-41</v>
      </c>
      <c r="AP77" s="28">
        <f t="shared" si="31"/>
        <v>1.7788861139660278E-29</v>
      </c>
      <c r="AQ77" s="28">
        <f t="shared" si="32"/>
        <v>9.6275979351580144E+16</v>
      </c>
      <c r="AR77" s="26">
        <f t="shared" si="41"/>
        <v>189.96104993887155</v>
      </c>
      <c r="AS77" s="26">
        <f t="shared" si="33"/>
        <v>3.113886350667173</v>
      </c>
      <c r="AT77" s="26">
        <f t="shared" si="34"/>
        <v>9983.4623858738014</v>
      </c>
      <c r="AU77" s="26">
        <f t="shared" si="35"/>
        <v>0.12817271097264063</v>
      </c>
      <c r="AV77" s="28">
        <f t="shared" si="36"/>
        <v>0.15987831073151798</v>
      </c>
      <c r="AW77" s="30">
        <f t="shared" si="37"/>
        <v>1906441015483.5166</v>
      </c>
      <c r="AY77">
        <v>298.14999999999998</v>
      </c>
      <c r="AZ77" s="26">
        <f t="shared" si="38"/>
        <v>9.7303816330000001E-2</v>
      </c>
    </row>
    <row r="78" spans="1:52" x14ac:dyDescent="0.3">
      <c r="A78">
        <v>78</v>
      </c>
      <c r="B78" t="s">
        <v>185</v>
      </c>
      <c r="C78" t="s">
        <v>41</v>
      </c>
      <c r="D78" t="s">
        <v>240</v>
      </c>
      <c r="E78" s="23">
        <v>194</v>
      </c>
      <c r="F78">
        <f t="shared" si="39"/>
        <v>116</v>
      </c>
      <c r="G78" s="26">
        <f t="shared" si="40"/>
        <v>195.61545724000001</v>
      </c>
      <c r="H78" s="26">
        <f>(G78-(A78*'Atomic Particles'!C1))/'Atomic Particles'!C2+A78</f>
        <v>194.04222207076748</v>
      </c>
      <c r="I78" s="26">
        <f t="shared" si="21"/>
        <v>0.59625601188056387</v>
      </c>
      <c r="J78" s="26">
        <f>(('Atomic Particles'!C1)*A78)+(('Atomic Particles'!C2)*Elements!F78)</f>
        <v>195.57286927617804</v>
      </c>
      <c r="K78" s="30">
        <f>(E78^(1/3))*Constants!B2</f>
        <v>7.2362004650780036E-15</v>
      </c>
      <c r="L78" s="24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 s="26">
        <f t="shared" si="22"/>
        <v>74.45</v>
      </c>
      <c r="AH78" s="26">
        <f t="shared" si="43"/>
        <v>365.80962389847781</v>
      </c>
      <c r="AI78" s="26">
        <f t="shared" si="24"/>
        <v>0.88794675023959013</v>
      </c>
      <c r="AJ78" s="26">
        <f t="shared" si="42"/>
        <v>195.61548387923469</v>
      </c>
      <c r="AK78" s="28">
        <f t="shared" si="26"/>
        <v>3.7463870131654522E-10</v>
      </c>
      <c r="AL78">
        <f t="shared" si="27"/>
        <v>9.6477990526274917E-17</v>
      </c>
      <c r="AM78" s="15">
        <f t="shared" si="28"/>
        <v>0</v>
      </c>
      <c r="AN78">
        <f t="shared" si="29"/>
        <v>3.5499999999999972</v>
      </c>
      <c r="AO78" s="28">
        <f t="shared" si="30"/>
        <v>2.3586141894348366E-41</v>
      </c>
      <c r="AP78" s="28">
        <f t="shared" si="31"/>
        <v>2.3586141894348367E-29</v>
      </c>
      <c r="AQ78" s="28">
        <f t="shared" si="32"/>
        <v>8.4152205549670192E+16</v>
      </c>
      <c r="AR78" s="26">
        <f t="shared" si="41"/>
        <v>208.68960415819737</v>
      </c>
      <c r="AS78" s="26">
        <f t="shared" si="33"/>
        <v>3.5625026823931525</v>
      </c>
      <c r="AT78" s="26">
        <f t="shared" si="34"/>
        <v>8271.9648072303771</v>
      </c>
      <c r="AU78" s="26">
        <f t="shared" si="35"/>
        <v>0.12751235616006068</v>
      </c>
      <c r="AV78" s="28">
        <f t="shared" si="36"/>
        <v>0.21198167174035948</v>
      </c>
      <c r="AW78" s="30">
        <f t="shared" si="37"/>
        <v>1437853407619.6423</v>
      </c>
      <c r="AY78">
        <v>298.14999999999998</v>
      </c>
      <c r="AZ78" s="26">
        <f t="shared" si="38"/>
        <v>9.7807728620000006E-2</v>
      </c>
    </row>
    <row r="79" spans="1:52" x14ac:dyDescent="0.3">
      <c r="A79">
        <v>79</v>
      </c>
      <c r="B79" t="s">
        <v>186</v>
      </c>
      <c r="C79" t="s">
        <v>44</v>
      </c>
      <c r="D79" t="s">
        <v>240</v>
      </c>
      <c r="E79" s="23">
        <v>197</v>
      </c>
      <c r="F79">
        <f t="shared" si="39"/>
        <v>118</v>
      </c>
      <c r="G79" s="26">
        <f t="shared" si="40"/>
        <v>198.64061181999998</v>
      </c>
      <c r="H79" s="26">
        <f>(G79-(A79*'Atomic Particles'!C1))/'Atomic Particles'!C2+A79</f>
        <v>197.04276291202328</v>
      </c>
      <c r="I79" s="26">
        <f t="shared" si="21"/>
        <v>0.57208347085837796</v>
      </c>
      <c r="J79" s="26">
        <f>(('Atomic Particles'!C1)*A79)+(('Atomic Particles'!C2)*Elements!F79)</f>
        <v>198.59747832803561</v>
      </c>
      <c r="K79" s="30">
        <f>(E79^(1/3))*Constants!B2</f>
        <v>7.2733098343712004E-15</v>
      </c>
      <c r="L79" s="24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 s="26">
        <f t="shared" si="22"/>
        <v>75.3</v>
      </c>
      <c r="AH79" s="26">
        <f t="shared" si="43"/>
        <v>420.57176692281456</v>
      </c>
      <c r="AI79" s="26">
        <f t="shared" si="24"/>
        <v>0.78427217865921184</v>
      </c>
      <c r="AJ79" s="26">
        <f t="shared" si="42"/>
        <v>198.64063875765962</v>
      </c>
      <c r="AK79" s="28">
        <f t="shared" si="26"/>
        <v>3.5945064585776578E-10</v>
      </c>
      <c r="AL79">
        <f t="shared" si="27"/>
        <v>8.8814015749260469E-17</v>
      </c>
      <c r="AM79" s="15">
        <f t="shared" si="28"/>
        <v>0</v>
      </c>
      <c r="AN79">
        <f t="shared" si="29"/>
        <v>3.7000000000000028</v>
      </c>
      <c r="AO79" s="28">
        <f t="shared" si="30"/>
        <v>2.0832279508489326E-41</v>
      </c>
      <c r="AP79" s="28">
        <f>AO79 * 10^12</f>
        <v>2.0832279508489327E-29</v>
      </c>
      <c r="AQ79" s="28">
        <f t="shared" si="32"/>
        <v>9.0113903732655696E+16</v>
      </c>
      <c r="AR79" s="26">
        <f t="shared" si="41"/>
        <v>200.22921480043229</v>
      </c>
      <c r="AS79" s="26">
        <f t="shared" si="33"/>
        <v>3.3268169015228275</v>
      </c>
      <c r="AT79" s="26">
        <f t="shared" si="34"/>
        <v>8985.772522196723</v>
      </c>
      <c r="AU79" s="26">
        <f t="shared" si="35"/>
        <v>0.12557043408929228</v>
      </c>
      <c r="AV79" s="28">
        <f t="shared" si="36"/>
        <v>0.18723119093208557</v>
      </c>
      <c r="AW79" s="30">
        <f t="shared" si="37"/>
        <v>1627926242136.3545</v>
      </c>
      <c r="AY79">
        <v>298.14999999999998</v>
      </c>
      <c r="AZ79" s="26">
        <f t="shared" si="38"/>
        <v>9.932030590999999E-2</v>
      </c>
    </row>
    <row r="80" spans="1:52" x14ac:dyDescent="0.3">
      <c r="A80">
        <v>80</v>
      </c>
      <c r="B80" t="s">
        <v>187</v>
      </c>
      <c r="C80" t="s">
        <v>49</v>
      </c>
      <c r="D80" t="s">
        <v>240</v>
      </c>
      <c r="E80" s="23">
        <v>196</v>
      </c>
      <c r="F80">
        <f t="shared" si="39"/>
        <v>116</v>
      </c>
      <c r="G80" s="26">
        <f t="shared" si="40"/>
        <v>197.63110639999999</v>
      </c>
      <c r="H80" s="26">
        <f>(G80-(A80*'Atomic Particles'!C1))/'Atomic Particles'!C2+A80</f>
        <v>196.04330739856044</v>
      </c>
      <c r="I80" s="26">
        <f t="shared" si="21"/>
        <v>0.48659973383356386</v>
      </c>
      <c r="J80" s="26">
        <f>(('Atomic Particles'!C1)*A80)+(('Atomic Particles'!C2)*Elements!F80)</f>
        <v>197.58742370302213</v>
      </c>
      <c r="K80" s="30">
        <f>(E80^(1/3))*Constants!B2</f>
        <v>7.260982166954628E-15</v>
      </c>
      <c r="L80" s="24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 s="26">
        <f t="shared" si="22"/>
        <v>75.650000000000006</v>
      </c>
      <c r="AH80" s="26">
        <f t="shared" si="43"/>
        <v>679.97034327341828</v>
      </c>
      <c r="AI80" s="26">
        <f t="shared" si="24"/>
        <v>0.48261877216201354</v>
      </c>
      <c r="AJ80" s="26">
        <f t="shared" si="42"/>
        <v>197.63113397229361</v>
      </c>
      <c r="AK80" s="28">
        <f t="shared" si="26"/>
        <v>3.0573962981005429E-10</v>
      </c>
      <c r="AL80">
        <f t="shared" si="27"/>
        <v>6.4254928027870573E-17</v>
      </c>
      <c r="AM80" s="15">
        <f t="shared" si="28"/>
        <v>0</v>
      </c>
      <c r="AN80">
        <f t="shared" si="29"/>
        <v>4.3499999999999943</v>
      </c>
      <c r="AO80" s="28">
        <f t="shared" si="30"/>
        <v>1.2819591758197202E-41</v>
      </c>
      <c r="AP80" s="28">
        <f t="shared" ref="AP80:AP118" si="44">AO80 * 10^12</f>
        <v>1.2819591758197202E-29</v>
      </c>
      <c r="AQ80" s="28">
        <f t="shared" si="32"/>
        <v>1.1559912609131338E+17</v>
      </c>
      <c r="AR80" s="26">
        <f t="shared" si="41"/>
        <v>170.30990684174736</v>
      </c>
      <c r="AS80" s="26">
        <f t="shared" si="33"/>
        <v>2.5933799686616119</v>
      </c>
      <c r="AT80" s="26">
        <f t="shared" si="34"/>
        <v>12420.254240413935</v>
      </c>
      <c r="AU80" s="26">
        <f t="shared" si="35"/>
        <v>0.12621185150638817</v>
      </c>
      <c r="AV80" s="28">
        <f t="shared" si="36"/>
        <v>0.11521674482009031</v>
      </c>
      <c r="AW80" s="30">
        <f t="shared" si="37"/>
        <v>2645436386357.938</v>
      </c>
      <c r="AY80">
        <v>298.14999999999998</v>
      </c>
      <c r="AZ80" s="26">
        <f t="shared" si="38"/>
        <v>9.8815553200000003E-2</v>
      </c>
    </row>
    <row r="81" spans="1:52" x14ac:dyDescent="0.3">
      <c r="A81">
        <v>81</v>
      </c>
      <c r="B81" t="s">
        <v>188</v>
      </c>
      <c r="C81" t="s">
        <v>231</v>
      </c>
      <c r="D81" t="s">
        <v>239</v>
      </c>
      <c r="E81" s="23">
        <v>205</v>
      </c>
      <c r="F81">
        <f t="shared" si="39"/>
        <v>124</v>
      </c>
      <c r="G81" s="26">
        <f t="shared" si="40"/>
        <v>206.70825098</v>
      </c>
      <c r="H81" s="26">
        <f>(G81-(A81*'Atomic Particles'!C1))/'Atomic Particles'!C2+A81</f>
        <v>205.04384277189433</v>
      </c>
      <c r="I81" s="26">
        <f t="shared" si="21"/>
        <v>0.42334176843520005</v>
      </c>
      <c r="J81" s="26">
        <f>(('Atomic Particles'!C1)*A81)+(('Atomic Particles'!C2)*Elements!F81)</f>
        <v>206.66402827018618</v>
      </c>
      <c r="K81" s="30">
        <f>(E81^(1/3))*Constants!B2</f>
        <v>7.3704606749629592E-15</v>
      </c>
      <c r="L81" s="24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 s="26">
        <f t="shared" si="22"/>
        <v>76</v>
      </c>
      <c r="AH81" s="26">
        <f t="shared" si="43"/>
        <v>1080.0272766523037</v>
      </c>
      <c r="AI81" s="26">
        <f t="shared" si="24"/>
        <v>0.31780590932500125</v>
      </c>
      <c r="AJ81" s="26">
        <f t="shared" si="42"/>
        <v>206.70827834640491</v>
      </c>
      <c r="AK81" s="28">
        <f t="shared" si="26"/>
        <v>2.6599347793474691E-10</v>
      </c>
      <c r="AL81">
        <f t="shared" si="27"/>
        <v>4.8634555024295111E-17</v>
      </c>
      <c r="AM81" s="15">
        <f t="shared" si="28"/>
        <v>0</v>
      </c>
      <c r="AN81">
        <f t="shared" si="29"/>
        <v>5</v>
      </c>
      <c r="AO81" s="28">
        <f t="shared" si="30"/>
        <v>8.4417396315480997E-42</v>
      </c>
      <c r="AP81" s="28">
        <f t="shared" si="44"/>
        <v>8.4417396315481003E-30</v>
      </c>
      <c r="AQ81" s="28">
        <f t="shared" si="32"/>
        <v>1.4334191028767179E+17</v>
      </c>
      <c r="AR81" s="26">
        <f t="shared" si="41"/>
        <v>148.16961895232001</v>
      </c>
      <c r="AS81" s="26">
        <f t="shared" si="33"/>
        <v>2.0914501376348955</v>
      </c>
      <c r="AT81" s="26">
        <f t="shared" si="34"/>
        <v>16409.372757846435</v>
      </c>
      <c r="AU81" s="26">
        <f t="shared" si="35"/>
        <v>0.12066953174700989</v>
      </c>
      <c r="AV81" s="28">
        <f t="shared" si="36"/>
        <v>7.5870572114263637E-2</v>
      </c>
      <c r="AW81" s="30">
        <f t="shared" si="37"/>
        <v>4017349027047.6338</v>
      </c>
      <c r="AY81">
        <v>298.14999999999998</v>
      </c>
      <c r="AZ81" s="26">
        <f t="shared" si="38"/>
        <v>0.10335412549</v>
      </c>
    </row>
    <row r="82" spans="1:52" x14ac:dyDescent="0.3">
      <c r="A82">
        <v>82</v>
      </c>
      <c r="B82" t="s">
        <v>189</v>
      </c>
      <c r="C82" t="s">
        <v>57</v>
      </c>
      <c r="D82" t="s">
        <v>239</v>
      </c>
      <c r="E82" s="23">
        <v>204</v>
      </c>
      <c r="F82">
        <f t="shared" si="39"/>
        <v>122</v>
      </c>
      <c r="G82" s="26">
        <f t="shared" si="40"/>
        <v>205.69874555999996</v>
      </c>
      <c r="H82" s="26">
        <f>(G82-(A82*'Atomic Particles'!C1))/'Atomic Particles'!C2+A82</f>
        <v>204.04438725843141</v>
      </c>
      <c r="I82" s="26">
        <f t="shared" si="21"/>
        <v>0.37463873312849522</v>
      </c>
      <c r="J82" s="26">
        <f>(('Atomic Particles'!C1)*A82)+(('Atomic Particles'!C2)*Elements!F82)</f>
        <v>205.6539736451727</v>
      </c>
      <c r="K82" s="30">
        <f>(E82^(1/3))*Constants!B2</f>
        <v>7.3584566461041693E-15</v>
      </c>
      <c r="L82" s="24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 s="26">
        <f t="shared" si="22"/>
        <v>76.349999999999994</v>
      </c>
      <c r="AH82" s="26">
        <f t="shared" si="43"/>
        <v>1550.7574823457312</v>
      </c>
      <c r="AI82" s="26">
        <f t="shared" si="24"/>
        <v>0.22025543703050202</v>
      </c>
      <c r="AJ82" s="26">
        <f t="shared" si="42"/>
        <v>205.69877356103891</v>
      </c>
      <c r="AK82" s="28">
        <f t="shared" si="26"/>
        <v>2.3539245834933332E-10</v>
      </c>
      <c r="AL82">
        <f t="shared" si="27"/>
        <v>3.8087990464637019E-17</v>
      </c>
      <c r="AM82" s="15">
        <f t="shared" si="28"/>
        <v>0</v>
      </c>
      <c r="AN82">
        <f t="shared" si="29"/>
        <v>5.6500000000000057</v>
      </c>
      <c r="AO82" s="28">
        <f>4 * PI() * 8.854187817E-12 * (I82 * 0.0000000001)^3</f>
        <v>5.850549021550446E-42</v>
      </c>
      <c r="AP82" s="28">
        <f t="shared" si="44"/>
        <v>5.8505490215504459E-30</v>
      </c>
      <c r="AQ82" s="28">
        <f t="shared" si="32"/>
        <v>1.7324283015515078E+17</v>
      </c>
      <c r="AR82" s="26">
        <f t="shared" si="41"/>
        <v>131.12355659497334</v>
      </c>
      <c r="AS82" s="26">
        <f t="shared" si="33"/>
        <v>1.7304754126419857</v>
      </c>
      <c r="AT82" s="26">
        <f t="shared" si="34"/>
        <v>20953.128074494158</v>
      </c>
      <c r="AU82" s="26">
        <f t="shared" si="35"/>
        <v>0.1212617402507411</v>
      </c>
      <c r="AV82" s="28">
        <f t="shared" si="36"/>
        <v>5.2582112315891848E-2</v>
      </c>
      <c r="AW82" s="30">
        <f t="shared" si="37"/>
        <v>5796620859079.9678</v>
      </c>
      <c r="AY82">
        <v>298.14999999999998</v>
      </c>
      <c r="AZ82" s="26">
        <f t="shared" si="38"/>
        <v>0.10284937277999999</v>
      </c>
    </row>
    <row r="83" spans="1:52" x14ac:dyDescent="0.3">
      <c r="A83">
        <v>83</v>
      </c>
      <c r="B83" t="s">
        <v>190</v>
      </c>
      <c r="C83" t="s">
        <v>66</v>
      </c>
      <c r="D83" t="s">
        <v>239</v>
      </c>
      <c r="E83" s="23">
        <v>209</v>
      </c>
      <c r="F83">
        <f t="shared" si="39"/>
        <v>126</v>
      </c>
      <c r="G83" s="26">
        <f t="shared" si="40"/>
        <v>210.74123014</v>
      </c>
      <c r="H83" s="26">
        <f>(G83-(A83*'Atomic Particles'!C1))/'Atomic Particles'!C2+A83</f>
        <v>209.04492627704661</v>
      </c>
      <c r="I83" s="26">
        <f t="shared" si="21"/>
        <v>0.33598553050412716</v>
      </c>
      <c r="J83" s="26">
        <f>(('Atomic Particles'!C1)*A83)+(('Atomic Particles'!C2)*Elements!F83)</f>
        <v>210.69591453546573</v>
      </c>
      <c r="K83" s="30">
        <f>(E83^(1/3))*Constants!B2</f>
        <v>7.418090175499927E-15</v>
      </c>
      <c r="L83" s="24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 s="26">
        <f t="shared" si="22"/>
        <v>76.7</v>
      </c>
      <c r="AH83" s="26">
        <f t="shared" si="43"/>
        <v>2202.6122882587529</v>
      </c>
      <c r="AI83" s="26">
        <f t="shared" si="24"/>
        <v>0.15887308652223464</v>
      </c>
      <c r="AJ83" s="26">
        <f t="shared" si="42"/>
        <v>210.74125827135924</v>
      </c>
      <c r="AK83" s="28">
        <f t="shared" si="26"/>
        <v>2.1110593486884686E-10</v>
      </c>
      <c r="AL83">
        <f t="shared" si="27"/>
        <v>3.0634010471337344E-17</v>
      </c>
      <c r="AM83" s="15">
        <f t="shared" si="28"/>
        <v>0</v>
      </c>
      <c r="AN83">
        <f t="shared" si="29"/>
        <v>6.2999999999999972</v>
      </c>
      <c r="AO83" s="28">
        <f t="shared" ref="AO83:AO104" si="45">4 * PI() * 8.854187817E-12 * (I83 * 0.0000000001)^3</f>
        <v>4.2200764414030727E-42</v>
      </c>
      <c r="AP83" s="28">
        <f t="shared" si="44"/>
        <v>4.2200764414030724E-30</v>
      </c>
      <c r="AQ83" s="28">
        <f t="shared" si="32"/>
        <v>2.0522276864551594E+17</v>
      </c>
      <c r="AR83" s="26">
        <f t="shared" si="41"/>
        <v>117.59493567644451</v>
      </c>
      <c r="AS83" s="26">
        <f>299792458000000000 / AQ83</f>
        <v>1.4608148012944684</v>
      </c>
      <c r="AT83" s="26">
        <f t="shared" si="34"/>
        <v>26051.52019035698</v>
      </c>
      <c r="AU83" s="26">
        <f t="shared" si="35"/>
        <v>0.11836026503892742</v>
      </c>
      <c r="AV83" s="28">
        <f t="shared" si="36"/>
        <v>3.7928155563885867E-2</v>
      </c>
      <c r="AW83" s="30">
        <f t="shared" si="37"/>
        <v>8036208577329.4268</v>
      </c>
      <c r="AY83">
        <v>298.14999999999998</v>
      </c>
      <c r="AZ83" s="26">
        <f t="shared" si="38"/>
        <v>0.10537061507000001</v>
      </c>
    </row>
    <row r="84" spans="1:52" x14ac:dyDescent="0.3">
      <c r="A84">
        <v>84</v>
      </c>
      <c r="B84" t="s">
        <v>191</v>
      </c>
      <c r="C84" t="s">
        <v>232</v>
      </c>
      <c r="D84" t="s">
        <v>239</v>
      </c>
      <c r="E84" s="23">
        <v>209</v>
      </c>
      <c r="F84">
        <f t="shared" si="39"/>
        <v>125</v>
      </c>
      <c r="G84" s="26">
        <f t="shared" si="40"/>
        <v>210.74038972</v>
      </c>
      <c r="H84" s="26">
        <f>(G84-(A84*'Atomic Particles'!C1))/'Atomic Particles'!C2+A84</f>
        <v>209.04546985226341</v>
      </c>
      <c r="I84" s="26">
        <f t="shared" si="21"/>
        <v>0.30456242333467615</v>
      </c>
      <c r="J84" s="26">
        <f>(('Atomic Particles'!C1)*A84)+(('Atomic Particles'!C2)*Elements!F84)</f>
        <v>210.69452582967003</v>
      </c>
      <c r="K84" s="30">
        <f>(E84^(1/3))*Constants!B2</f>
        <v>7.418090175499927E-15</v>
      </c>
      <c r="L84" s="24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 s="26">
        <f t="shared" si="22"/>
        <v>77.05</v>
      </c>
      <c r="AH84" s="26">
        <f t="shared" si="43"/>
        <v>2957.1209717102779</v>
      </c>
      <c r="AI84" s="26">
        <f t="shared" si="24"/>
        <v>0.11833618593143733</v>
      </c>
      <c r="AJ84" s="26">
        <f t="shared" si="42"/>
        <v>210.74041840194104</v>
      </c>
      <c r="AK84" s="28">
        <f t="shared" si="26"/>
        <v>1.9136221434154445E-10</v>
      </c>
      <c r="AL84">
        <f t="shared" si="27"/>
        <v>2.5171862235026689E-17</v>
      </c>
      <c r="AM84" s="15">
        <f t="shared" si="28"/>
        <v>0</v>
      </c>
      <c r="AN84">
        <f t="shared" si="29"/>
        <v>6.9500000000000028</v>
      </c>
      <c r="AO84" s="28">
        <f t="shared" si="45"/>
        <v>3.1433124473531378E-42</v>
      </c>
      <c r="AP84" s="28">
        <f t="shared" si="44"/>
        <v>3.1433124473531379E-30</v>
      </c>
      <c r="AQ84" s="28">
        <f t="shared" si="32"/>
        <v>2.3921726564097037E+17</v>
      </c>
      <c r="AR84" s="26">
        <f t="shared" si="41"/>
        <v>106.59684816713666</v>
      </c>
      <c r="AS84" s="26">
        <f t="shared" si="33"/>
        <v>1.2532224929363753</v>
      </c>
      <c r="AT84" s="26">
        <f t="shared" si="34"/>
        <v>31704.54910543513</v>
      </c>
      <c r="AU84" s="26">
        <f t="shared" si="35"/>
        <v>0.11836073705254606</v>
      </c>
      <c r="AV84" s="28">
        <f t="shared" si="36"/>
        <v>2.8250683404557206E-2</v>
      </c>
      <c r="AW84" s="30">
        <f t="shared" si="37"/>
        <v>10789068876670.654</v>
      </c>
      <c r="AY84">
        <v>298.14999999999998</v>
      </c>
      <c r="AZ84" s="26">
        <f t="shared" si="38"/>
        <v>0.10537019486</v>
      </c>
    </row>
    <row r="85" spans="1:52" x14ac:dyDescent="0.3">
      <c r="A85">
        <v>85</v>
      </c>
      <c r="B85" t="s">
        <v>192</v>
      </c>
      <c r="C85" t="s">
        <v>73</v>
      </c>
      <c r="D85" t="s">
        <v>238</v>
      </c>
      <c r="E85" s="23">
        <v>210</v>
      </c>
      <c r="F85">
        <f t="shared" si="39"/>
        <v>125</v>
      </c>
      <c r="G85" s="26">
        <f t="shared" si="40"/>
        <v>211.7482143</v>
      </c>
      <c r="H85" s="26">
        <f>(G85-(A85*'Atomic Particles'!C1))/'Atomic Particles'!C2+A85</f>
        <v>210.04601251615989</v>
      </c>
      <c r="I85" s="26">
        <f t="shared" si="21"/>
        <v>0.2785143213389476</v>
      </c>
      <c r="J85" s="26">
        <f>(('Atomic Particles'!C1)*A85)+(('Atomic Particles'!C2)*Elements!F85)</f>
        <v>211.70180304309207</v>
      </c>
      <c r="K85" s="30">
        <f>(E85^(1/3))*Constants!B2</f>
        <v>7.429902440953911E-15</v>
      </c>
      <c r="L85" s="24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 s="26">
        <f t="shared" si="22"/>
        <v>77.400000000000006</v>
      </c>
      <c r="AH85" s="26">
        <f t="shared" si="43"/>
        <v>3885.3257111551648</v>
      </c>
      <c r="AI85" s="26">
        <f t="shared" si="24"/>
        <v>9.0496379450414693E-2</v>
      </c>
      <c r="AJ85" s="26">
        <f t="shared" si="42"/>
        <v>211.7482434484705</v>
      </c>
      <c r="AK85" s="28">
        <f t="shared" si="26"/>
        <v>1.7499570916759678E-10</v>
      </c>
      <c r="AL85">
        <f t="shared" si="27"/>
        <v>2.1050274854698404E-17</v>
      </c>
      <c r="AM85" s="15">
        <f t="shared" si="28"/>
        <v>0</v>
      </c>
      <c r="AN85">
        <f t="shared" si="29"/>
        <v>7.5999999999999943</v>
      </c>
      <c r="AO85" s="28">
        <f t="shared" si="45"/>
        <v>2.4038158212374136E-42</v>
      </c>
      <c r="AP85" s="28">
        <f t="shared" si="44"/>
        <v>2.4038158212374135E-30</v>
      </c>
      <c r="AQ85" s="28">
        <f t="shared" si="32"/>
        <v>2.7517281284412182E+17</v>
      </c>
      <c r="AR85" s="26">
        <f t="shared" si="41"/>
        <v>97.480012468631656</v>
      </c>
      <c r="AS85" s="26">
        <f t="shared" si="33"/>
        <v>1.0894697586633479</v>
      </c>
      <c r="AT85" s="26">
        <f t="shared" si="34"/>
        <v>37912.214819728346</v>
      </c>
      <c r="AU85" s="26">
        <f t="shared" si="35"/>
        <v>0.11779739411951207</v>
      </c>
      <c r="AV85" s="28">
        <f t="shared" si="36"/>
        <v>2.1604419180736478E-2</v>
      </c>
      <c r="AW85" s="30">
        <f t="shared" si="37"/>
        <v>14108158451978.064</v>
      </c>
      <c r="AY85">
        <v>298.14999999999998</v>
      </c>
      <c r="AZ85" s="26">
        <f t="shared" si="38"/>
        <v>0.10587410715000001</v>
      </c>
    </row>
    <row r="86" spans="1:52" x14ac:dyDescent="0.3">
      <c r="A86">
        <v>86</v>
      </c>
      <c r="B86" t="s">
        <v>193</v>
      </c>
      <c r="C86" t="s">
        <v>76</v>
      </c>
      <c r="D86" t="s">
        <v>234</v>
      </c>
      <c r="E86" s="23">
        <v>222</v>
      </c>
      <c r="F86">
        <f t="shared" si="39"/>
        <v>136</v>
      </c>
      <c r="G86" s="26">
        <f t="shared" si="40"/>
        <v>223.85135387999998</v>
      </c>
      <c r="H86" s="26">
        <f>(G86-(A86*'Atomic Particles'!C1))/'Atomic Particles'!C2+A86</f>
        <v>222.04654515553278</v>
      </c>
      <c r="I86" s="26">
        <f t="shared" si="21"/>
        <v>0.25657076874860607</v>
      </c>
      <c r="J86" s="26">
        <f>(('Atomic Particles'!C1)*A86)+(('Atomic Particles'!C2)*Elements!F86)</f>
        <v>223.80440536790937</v>
      </c>
      <c r="K86" s="30">
        <f>(E86^(1/3))*Constants!B2</f>
        <v>7.5688111831388797E-15</v>
      </c>
      <c r="L86" s="24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 s="26">
        <f t="shared" si="22"/>
        <v>77.75</v>
      </c>
      <c r="AH86" s="26">
        <f t="shared" si="43"/>
        <v>5253.9806586289069</v>
      </c>
      <c r="AI86" s="26">
        <f t="shared" si="24"/>
        <v>7.0747343256254258E-2</v>
      </c>
      <c r="AJ86" s="26">
        <f t="shared" si="42"/>
        <v>223.8513825704249</v>
      </c>
      <c r="AK86" s="28">
        <f t="shared" si="26"/>
        <v>1.6120816844530116E-10</v>
      </c>
      <c r="AL86">
        <f t="shared" si="27"/>
        <v>1.7863932056674053E-17</v>
      </c>
      <c r="AM86" s="15">
        <f t="shared" si="28"/>
        <v>0</v>
      </c>
      <c r="AN86">
        <f t="shared" si="29"/>
        <v>8.25</v>
      </c>
      <c r="AO86" s="28">
        <f t="shared" si="45"/>
        <v>1.8792307942339315E-42</v>
      </c>
      <c r="AP86" s="28">
        <f t="shared" si="44"/>
        <v>1.8792307942339314E-30</v>
      </c>
      <c r="AQ86" s="28">
        <f t="shared" si="32"/>
        <v>3.130443144104423E+17</v>
      </c>
      <c r="AR86" s="26">
        <f t="shared" si="41"/>
        <v>89.799769062012132</v>
      </c>
      <c r="AS86" s="26">
        <f t="shared" si="33"/>
        <v>0.95766779398182145</v>
      </c>
      <c r="AT86" s="26">
        <f t="shared" si="34"/>
        <v>44674.517333236923</v>
      </c>
      <c r="AU86" s="26">
        <f t="shared" si="35"/>
        <v>0.11142835377878217</v>
      </c>
      <c r="AV86" s="28">
        <f t="shared" si="36"/>
        <v>1.6889684083649416E-2</v>
      </c>
      <c r="AW86" s="30">
        <f t="shared" si="37"/>
        <v>18046433998126.355</v>
      </c>
      <c r="AY86">
        <v>298.14999999999998</v>
      </c>
      <c r="AZ86" s="26">
        <f t="shared" si="38"/>
        <v>0.11192567694</v>
      </c>
    </row>
    <row r="87" spans="1:52" x14ac:dyDescent="0.3">
      <c r="A87">
        <v>87</v>
      </c>
      <c r="B87" t="s">
        <v>194</v>
      </c>
      <c r="C87" t="s">
        <v>6</v>
      </c>
      <c r="D87" t="s">
        <v>235</v>
      </c>
      <c r="E87" s="23">
        <v>223</v>
      </c>
      <c r="F87">
        <f t="shared" si="39"/>
        <v>136</v>
      </c>
      <c r="G87" s="26">
        <f t="shared" si="40"/>
        <v>224.85917846000001</v>
      </c>
      <c r="H87" s="26">
        <f>(G87-(A87*'Atomic Particles'!C1))/'Atomic Particles'!C2+A87</f>
        <v>223.04708781942929</v>
      </c>
      <c r="I87" s="26">
        <f t="shared" si="21"/>
        <v>0.96214038280727154</v>
      </c>
      <c r="J87" s="26">
        <f>(('Atomic Particles'!C1)*A87)+(('Atomic Particles'!C2)*Elements!F87)</f>
        <v>224.81168258133141</v>
      </c>
      <c r="K87" s="30">
        <f>(E87^(1/3))*Constants!B2</f>
        <v>7.5801587431337018E-15</v>
      </c>
      <c r="L87" s="24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 s="26">
        <f t="shared" si="22"/>
        <v>84.8</v>
      </c>
      <c r="AH87" s="26">
        <f t="shared" si="43"/>
        <v>100.07959996042092</v>
      </c>
      <c r="AI87" s="26">
        <f t="shared" si="24"/>
        <v>3.730816929529019</v>
      </c>
      <c r="AJ87" s="26">
        <f t="shared" si="42"/>
        <v>224.85920761695442</v>
      </c>
      <c r="AK87" s="28">
        <f t="shared" si="26"/>
        <v>6.0453063166987861E-10</v>
      </c>
      <c r="AL87">
        <f t="shared" si="27"/>
        <v>2.5121154454697825E-16</v>
      </c>
      <c r="AM87" s="15">
        <f t="shared" si="28"/>
        <v>0</v>
      </c>
      <c r="AN87">
        <f t="shared" si="29"/>
        <v>2.2000000000000028</v>
      </c>
      <c r="AO87" s="28">
        <f t="shared" si="45"/>
        <v>9.9100061414679601E-41</v>
      </c>
      <c r="AP87" s="28">
        <f t="shared" si="44"/>
        <v>9.9100061414679602E-29</v>
      </c>
      <c r="AQ87" s="28">
        <f t="shared" si="32"/>
        <v>4.335800783589796E+16</v>
      </c>
      <c r="AR87" s="26">
        <f t="shared" si="41"/>
        <v>336.74913398254506</v>
      </c>
      <c r="AS87" s="26">
        <f t="shared" si="33"/>
        <v>6.9143503810105624</v>
      </c>
      <c r="AT87" s="26">
        <f t="shared" si="34"/>
        <v>3176.8545659190786</v>
      </c>
      <c r="AU87" s="26">
        <f t="shared" si="35"/>
        <v>0.11092892905164269</v>
      </c>
      <c r="AV87" s="28">
        <f t="shared" si="36"/>
        <v>0.89066693409869624</v>
      </c>
      <c r="AW87" s="30">
        <f t="shared" si="37"/>
        <v>342213859520.02692</v>
      </c>
      <c r="AY87">
        <v>298.14999999999998</v>
      </c>
      <c r="AZ87" s="26">
        <f t="shared" si="38"/>
        <v>0.11242958923</v>
      </c>
    </row>
    <row r="88" spans="1:52" x14ac:dyDescent="0.3">
      <c r="A88">
        <v>88</v>
      </c>
      <c r="B88" t="s">
        <v>195</v>
      </c>
      <c r="C88" t="s">
        <v>12</v>
      </c>
      <c r="D88" t="s">
        <v>236</v>
      </c>
      <c r="E88" s="23">
        <v>226</v>
      </c>
      <c r="F88">
        <f t="shared" si="39"/>
        <v>138</v>
      </c>
      <c r="G88" s="26">
        <f t="shared" si="40"/>
        <v>227.88433303999997</v>
      </c>
      <c r="H88" s="26">
        <f>(G88-(A88*'Atomic Particles'!C1))/'Atomic Particles'!C2+A88</f>
        <v>226.04762866068509</v>
      </c>
      <c r="I88" s="26">
        <f t="shared" si="21"/>
        <v>0.74270485690386112</v>
      </c>
      <c r="J88" s="26">
        <f>(('Atomic Particles'!C1)*A88)+(('Atomic Particles'!C2)*Elements!F88)</f>
        <v>227.83629163318895</v>
      </c>
      <c r="K88" s="30">
        <f>(E88^(1/3))*Constants!B2</f>
        <v>7.613999186149732E-15</v>
      </c>
      <c r="L88" s="24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 s="26">
        <f t="shared" si="22"/>
        <v>85.15</v>
      </c>
      <c r="AH88" s="26">
        <f t="shared" si="43"/>
        <v>220.50373355135861</v>
      </c>
      <c r="AI88" s="26">
        <f t="shared" si="24"/>
        <v>1.7160794918004623</v>
      </c>
      <c r="AJ88" s="26">
        <f t="shared" si="42"/>
        <v>227.88436249537935</v>
      </c>
      <c r="AK88" s="28">
        <f t="shared" si="26"/>
        <v>4.6665522444692527E-10</v>
      </c>
      <c r="AL88">
        <f t="shared" si="27"/>
        <v>1.4969084341118899E-16</v>
      </c>
      <c r="AM88" s="15">
        <f t="shared" si="28"/>
        <v>0</v>
      </c>
      <c r="AN88">
        <f t="shared" si="29"/>
        <v>2.8499999999999943</v>
      </c>
      <c r="AO88" s="28">
        <f t="shared" si="45"/>
        <v>4.558347038790963E-41</v>
      </c>
      <c r="AP88" s="28">
        <f t="shared" si="44"/>
        <v>4.5583470387909629E-29</v>
      </c>
      <c r="AQ88" s="28">
        <f t="shared" si="32"/>
        <v>6.4296050742916416E+16</v>
      </c>
      <c r="AR88" s="26">
        <f t="shared" si="41"/>
        <v>259.94669991635141</v>
      </c>
      <c r="AS88" s="26">
        <f t="shared" si="33"/>
        <v>4.6626885249717853</v>
      </c>
      <c r="AT88" s="26">
        <f t="shared" si="34"/>
        <v>5331.4052090242867</v>
      </c>
      <c r="AU88" s="26">
        <f t="shared" si="35"/>
        <v>0.10945635235758726</v>
      </c>
      <c r="AV88" s="28">
        <f t="shared" si="36"/>
        <v>0.40968380076063388</v>
      </c>
      <c r="AW88" s="30">
        <f t="shared" si="37"/>
        <v>743984918366.0282</v>
      </c>
      <c r="AY88">
        <v>298.14999999999998</v>
      </c>
      <c r="AZ88" s="26">
        <f t="shared" si="38"/>
        <v>0.11394216651999999</v>
      </c>
    </row>
    <row r="89" spans="1:52" x14ac:dyDescent="0.3">
      <c r="A89">
        <v>89</v>
      </c>
      <c r="B89" t="s">
        <v>178</v>
      </c>
      <c r="C89" t="s">
        <v>83</v>
      </c>
      <c r="D89" t="s">
        <v>242</v>
      </c>
      <c r="E89" s="23">
        <v>227</v>
      </c>
      <c r="F89">
        <f t="shared" si="39"/>
        <v>138</v>
      </c>
      <c r="G89" s="26">
        <f>(A89 * 1.007276) + (F89 * 1.008665) + (L89 * 0.00054858)</f>
        <v>228.89215761999998</v>
      </c>
      <c r="H89" s="26">
        <f>(G89-(A89*'Atomic Particles'!C1))/'Atomic Particles'!C2+A89</f>
        <v>227.04817132458155</v>
      </c>
      <c r="I89" s="26">
        <f t="shared" si="21"/>
        <v>0.70556961405866669</v>
      </c>
      <c r="J89" s="26">
        <f>(('Atomic Particles'!C1)*A89)+(('Atomic Particles'!C2)*Elements!F89)</f>
        <v>228.84356884661099</v>
      </c>
      <c r="K89" s="30">
        <f>(E89^(1/3))*Constants!B2</f>
        <v>7.6252127504913264E-15</v>
      </c>
      <c r="L89" s="24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 s="26">
        <f t="shared" si="22"/>
        <v>86</v>
      </c>
      <c r="AH89" s="26">
        <f t="shared" si="43"/>
        <v>258.32210786645624</v>
      </c>
      <c r="AI89" s="26">
        <f t="shared" si="24"/>
        <v>1.4713236542824129</v>
      </c>
      <c r="AJ89" s="26">
        <f t="shared" si="42"/>
        <v>228.89218754190878</v>
      </c>
      <c r="AK89" s="28">
        <f t="shared" si="26"/>
        <v>4.4332246322457815E-10</v>
      </c>
      <c r="AL89">
        <f t="shared" si="27"/>
        <v>1.3509598617859751E-16</v>
      </c>
      <c r="AM89" s="15">
        <f t="shared" si="28"/>
        <v>0</v>
      </c>
      <c r="AN89">
        <f t="shared" si="29"/>
        <v>3</v>
      </c>
      <c r="AO89" s="28">
        <f t="shared" si="45"/>
        <v>3.9082127923833786E-41</v>
      </c>
      <c r="AP89" s="28">
        <f t="shared" si="44"/>
        <v>3.9082127923833785E-29</v>
      </c>
      <c r="AQ89" s="28">
        <f t="shared" si="32"/>
        <v>6.9831690777139992E+16</v>
      </c>
      <c r="AR89" s="26">
        <f t="shared" si="41"/>
        <v>246.94936492053336</v>
      </c>
      <c r="AS89" s="26">
        <f t="shared" si="33"/>
        <v>4.2930717366811866</v>
      </c>
      <c r="AT89" s="26">
        <f t="shared" si="34"/>
        <v>5907.3741928247182</v>
      </c>
      <c r="AU89" s="26">
        <f t="shared" si="35"/>
        <v>0.10897441010368857</v>
      </c>
      <c r="AV89" s="28">
        <f t="shared" si="36"/>
        <v>0.3512526486771464</v>
      </c>
      <c r="AW89" s="30">
        <f t="shared" si="37"/>
        <v>867747389842.28894</v>
      </c>
      <c r="AY89">
        <v>298.14999999999998</v>
      </c>
      <c r="AZ89" s="26">
        <f t="shared" si="38"/>
        <v>0.11444607880999998</v>
      </c>
    </row>
    <row r="90" spans="1:52" x14ac:dyDescent="0.3">
      <c r="A90">
        <v>90</v>
      </c>
      <c r="B90" t="s">
        <v>196</v>
      </c>
      <c r="C90" t="s">
        <v>98</v>
      </c>
      <c r="D90" t="s">
        <v>242</v>
      </c>
      <c r="E90" s="23">
        <v>230</v>
      </c>
      <c r="F90">
        <f t="shared" si="39"/>
        <v>140</v>
      </c>
      <c r="G90" s="26">
        <f t="shared" ref="G90:G118" si="46">(A90 * 1.007276) + (F90 * 1.008665) + (L90 * 0.00054858)</f>
        <v>231.9173122</v>
      </c>
      <c r="H90" s="26">
        <f>(G90-(A90*'Atomic Particles'!C1))/'Atomic Particles'!C2+A90</f>
        <v>230.0487121658374</v>
      </c>
      <c r="I90" s="26">
        <f t="shared" si="21"/>
        <v>0.67197106100825277</v>
      </c>
      <c r="J90" s="26">
        <f>(('Atomic Particles'!C1)*A90)+(('Atomic Particles'!C2)*Elements!F90)</f>
        <v>231.8681778984685</v>
      </c>
      <c r="K90" s="30">
        <f>(E90^(1/3))*Constants!B2</f>
        <v>7.6586570940355215E-15</v>
      </c>
      <c r="L90" s="24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 s="26">
        <f t="shared" si="22"/>
        <v>86.85</v>
      </c>
      <c r="AH90" s="26">
        <f t="shared" si="43"/>
        <v>302.99239580000176</v>
      </c>
      <c r="AI90" s="26">
        <f t="shared" si="24"/>
        <v>1.2709846921778682</v>
      </c>
      <c r="AJ90" s="26">
        <f t="shared" si="42"/>
        <v>231.91734242033368</v>
      </c>
      <c r="AK90" s="28">
        <f t="shared" si="26"/>
        <v>4.2221186973769275E-10</v>
      </c>
      <c r="AL90">
        <f t="shared" si="27"/>
        <v>1.2253604188534881E-16</v>
      </c>
      <c r="AM90" s="15">
        <f t="shared" si="28"/>
        <v>0</v>
      </c>
      <c r="AN90">
        <f t="shared" si="29"/>
        <v>3.1500000000000057</v>
      </c>
      <c r="AO90" s="28">
        <f t="shared" si="45"/>
        <v>3.3760611531224347E-41</v>
      </c>
      <c r="AP90" s="28">
        <f t="shared" si="44"/>
        <v>3.3760611531224349E-29</v>
      </c>
      <c r="AQ90" s="28">
        <f t="shared" si="32"/>
        <v>7.5554921272779216E+16</v>
      </c>
      <c r="AR90" s="26">
        <f t="shared" si="41"/>
        <v>235.18987135288847</v>
      </c>
      <c r="AS90" s="26">
        <f t="shared" si="33"/>
        <v>3.9678746658691662</v>
      </c>
      <c r="AT90" s="26">
        <f t="shared" si="34"/>
        <v>6512.880047589274</v>
      </c>
      <c r="AU90" s="26">
        <f t="shared" si="35"/>
        <v>0.10755293607615379</v>
      </c>
      <c r="AV90" s="28">
        <f t="shared" si="36"/>
        <v>0.30342524451108482</v>
      </c>
      <c r="AW90" s="30">
        <f t="shared" si="37"/>
        <v>1004526072166.1851</v>
      </c>
      <c r="AY90">
        <v>298.14999999999998</v>
      </c>
      <c r="AZ90" s="26">
        <f t="shared" si="38"/>
        <v>0.11595865609999999</v>
      </c>
    </row>
    <row r="91" spans="1:52" x14ac:dyDescent="0.3">
      <c r="A91">
        <v>91</v>
      </c>
      <c r="B91" t="s">
        <v>197</v>
      </c>
      <c r="C91" t="s">
        <v>99</v>
      </c>
      <c r="D91" t="s">
        <v>242</v>
      </c>
      <c r="E91" s="23">
        <v>231</v>
      </c>
      <c r="F91">
        <f t="shared" si="39"/>
        <v>140</v>
      </c>
      <c r="G91" s="26">
        <f t="shared" si="46"/>
        <v>232.92513678000003</v>
      </c>
      <c r="H91" s="26">
        <f>(G91-(A91*'Atomic Particles'!C1))/'Atomic Particles'!C2+A91</f>
        <v>231.04925482973391</v>
      </c>
      <c r="I91" s="26">
        <f t="shared" si="21"/>
        <v>0.70556961405866669</v>
      </c>
      <c r="J91" s="26">
        <f>(('Atomic Particles'!C1)*A91)+(('Atomic Particles'!C2)*Elements!F91)</f>
        <v>232.87545511189057</v>
      </c>
      <c r="K91" s="30">
        <f>(E91^(1/3))*Constants!B2</f>
        <v>7.669740549577448E-15</v>
      </c>
      <c r="L91" s="24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 s="26">
        <f>IF(A91=1, 0, IF(A91=2, 0.3, IF(A91&lt;=10, 0.35*(N91+O91-1)+0.85*M91, IF(A91&lt;=18, 0.35*(P91+Q91-1)+0.85*(N91+O91)+M91, IF(A91&lt;=36, 0.35*(S91+T91-1)+0.85*(P91+Q91+R91)+(M91+N91+O91), IF(A91&lt;=54, 0.35*(W91+X91-1)+0.85*(S91+T91+U91)+(M91+N91+O91+P91+Q91+R91), IF(A91&lt;=86, 0.35*(AA91+AB91-1)+0.85*(W91+X91+Y91+Z91)+(M91+N91+O91+P91+Q91+R91+S91+T91+U91+V91), IF(A91&lt;=118, 0.35*(AD91+AE91-1)+0.85*(AA91+AB91+AC91)+(M91+N91+O91+P91+Q91+R91+S91+T91+U91+V91+W91+X91+Y91+Z91), 0))))))))</f>
        <v>88</v>
      </c>
      <c r="AH91" s="26">
        <f t="shared" si="43"/>
        <v>262.87362980772906</v>
      </c>
      <c r="AI91" s="26">
        <f t="shared" si="24"/>
        <v>1.4713236542824129</v>
      </c>
      <c r="AJ91" s="26">
        <f t="shared" si="42"/>
        <v>232.92516746686317</v>
      </c>
      <c r="AK91" s="28">
        <f t="shared" si="26"/>
        <v>4.4332246322457815E-10</v>
      </c>
      <c r="AL91">
        <f t="shared" si="27"/>
        <v>1.3509598617859751E-16</v>
      </c>
      <c r="AM91" s="15">
        <f t="shared" si="28"/>
        <v>0</v>
      </c>
      <c r="AN91">
        <f t="shared" si="29"/>
        <v>3</v>
      </c>
      <c r="AO91" s="28">
        <f t="shared" si="45"/>
        <v>3.9082127923833786E-41</v>
      </c>
      <c r="AP91" s="28">
        <f t="shared" si="44"/>
        <v>3.9082127923833785E-29</v>
      </c>
      <c r="AQ91" s="28">
        <f t="shared" si="32"/>
        <v>7.0611957349778936E+16</v>
      </c>
      <c r="AR91" s="26">
        <f t="shared" si="41"/>
        <v>246.94936492053336</v>
      </c>
      <c r="AS91" s="26">
        <f t="shared" si="33"/>
        <v>4.2456330238088009</v>
      </c>
      <c r="AT91" s="26">
        <f t="shared" si="34"/>
        <v>5907.3741928247182</v>
      </c>
      <c r="AU91" s="26">
        <f t="shared" si="35"/>
        <v>0.10708757414000905</v>
      </c>
      <c r="AV91" s="28">
        <f t="shared" si="36"/>
        <v>0.3512526486771464</v>
      </c>
      <c r="AW91" s="30">
        <f t="shared" si="37"/>
        <v>867747389842.28894</v>
      </c>
      <c r="AY91">
        <v>298.14999999999998</v>
      </c>
      <c r="AZ91" s="26">
        <f t="shared" si="38"/>
        <v>0.11646256839000001</v>
      </c>
    </row>
    <row r="92" spans="1:52" x14ac:dyDescent="0.3">
      <c r="A92">
        <v>92</v>
      </c>
      <c r="B92" t="s">
        <v>198</v>
      </c>
      <c r="C92" t="s">
        <v>100</v>
      </c>
      <c r="D92" t="s">
        <v>242</v>
      </c>
      <c r="E92" s="23">
        <v>234</v>
      </c>
      <c r="F92">
        <f t="shared" si="39"/>
        <v>142</v>
      </c>
      <c r="G92" s="26">
        <f t="shared" si="46"/>
        <v>235.95029135999997</v>
      </c>
      <c r="H92" s="26">
        <f>(G92-(A92*'Atomic Particles'!C1))/'Atomic Particles'!C2+A92</f>
        <v>234.04979567098968</v>
      </c>
      <c r="I92" s="26">
        <f t="shared" si="21"/>
        <v>0.70556961405866669</v>
      </c>
      <c r="J92" s="26">
        <f>(('Atomic Particles'!C1)*A92)+(('Atomic Particles'!C2)*Elements!F92)</f>
        <v>235.90006416374808</v>
      </c>
      <c r="K92" s="30">
        <f>(E92^(1/3))*Constants!B2</f>
        <v>7.7028001846862996E-15</v>
      </c>
      <c r="L92" s="24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 s="26">
        <f t="shared" ref="AG92:AG118" si="47">IF(A92=1, 0, IF(A92=2, 0.3, IF(A92&lt;=10, 0.35*(N92+O92-1)+0.85*M92, IF(A92&lt;=18, 0.35*(P92+Q92-1)+0.85*(N92+O92)+M92, IF(A92&lt;=36, 0.35*(S92+T92-1)+0.85*(P92+Q92+R92)+(M92+N92+O92), IF(A92&lt;=54, 0.35*(W92+X92-1)+0.85*(S92+T92+U92)+(M92+N92+O92+P92+Q92+R92), IF(A92&lt;=86, 0.35*(AA92+AB92-1)+0.85*(W92+X92+Y92+Z92)+(M92+N92+O92+P92+Q92+R92+S92+T92+U92+V92), IF(A92&lt;=118, 0.35*(AD92+AE92-1)+0.85*(AA92+AB92+AC92)+(M92+N92+O92+P92+Q92+R92+S92+T92+U92+V92+W92+X92+Y92+Z92), 0))))))))</f>
        <v>89</v>
      </c>
      <c r="AH92" s="26">
        <f t="shared" si="43"/>
        <v>266.28774550244327</v>
      </c>
      <c r="AI92" s="26">
        <f t="shared" si="24"/>
        <v>1.4713236542824129</v>
      </c>
      <c r="AJ92" s="26">
        <f t="shared" si="42"/>
        <v>235.95032234528813</v>
      </c>
      <c r="AK92" s="28">
        <f t="shared" si="26"/>
        <v>4.4332246322457815E-10</v>
      </c>
      <c r="AL92">
        <f t="shared" si="27"/>
        <v>1.3509598617859751E-16</v>
      </c>
      <c r="AM92" s="15">
        <f t="shared" si="28"/>
        <v>0</v>
      </c>
      <c r="AN92">
        <f t="shared" si="29"/>
        <v>3</v>
      </c>
      <c r="AO92" s="28">
        <f t="shared" si="45"/>
        <v>3.9082127923833786E-41</v>
      </c>
      <c r="AP92" s="28">
        <f t="shared" si="44"/>
        <v>3.9082127923833785E-29</v>
      </c>
      <c r="AQ92" s="28">
        <f t="shared" si="32"/>
        <v>7.0998875080901464E+16</v>
      </c>
      <c r="AR92" s="26">
        <f t="shared" si="41"/>
        <v>246.94936492053336</v>
      </c>
      <c r="AS92" s="26">
        <f t="shared" si="33"/>
        <v>4.2224958868488258</v>
      </c>
      <c r="AT92" s="26">
        <f t="shared" si="34"/>
        <v>5907.3741928247182</v>
      </c>
      <c r="AU92" s="26">
        <f t="shared" si="35"/>
        <v>0.10571458806101983</v>
      </c>
      <c r="AV92" s="28">
        <f t="shared" si="36"/>
        <v>0.3512526486771464</v>
      </c>
      <c r="AW92" s="30">
        <f t="shared" si="37"/>
        <v>867747389842.28894</v>
      </c>
      <c r="AY92">
        <v>298.14999999999998</v>
      </c>
      <c r="AZ92" s="26">
        <f t="shared" si="38"/>
        <v>0.11797514567999998</v>
      </c>
    </row>
    <row r="93" spans="1:52" x14ac:dyDescent="0.3">
      <c r="A93">
        <v>93</v>
      </c>
      <c r="B93" t="s">
        <v>199</v>
      </c>
      <c r="C93" t="s">
        <v>101</v>
      </c>
      <c r="D93" t="s">
        <v>242</v>
      </c>
      <c r="E93" s="23">
        <v>225</v>
      </c>
      <c r="F93">
        <f t="shared" si="39"/>
        <v>132</v>
      </c>
      <c r="G93" s="26">
        <f t="shared" si="46"/>
        <v>226.87146594000001</v>
      </c>
      <c r="H93" s="26">
        <f>(G93-(A93*'Atomic Particles'!C1))/'Atomic Particles'!C2+A93</f>
        <v>225.05034744808944</v>
      </c>
      <c r="I93" s="26">
        <f t="shared" si="21"/>
        <v>0.54979450446129952</v>
      </c>
      <c r="J93" s="26">
        <f>(('Atomic Particles'!C1)*A93)+(('Atomic Particles'!C2)*Elements!F93)</f>
        <v>226.82068218499262</v>
      </c>
      <c r="K93" s="30">
        <f>(E93^(1/3))*Constants!B2</f>
        <v>7.60275249446675E-15</v>
      </c>
      <c r="L93" s="24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 s="26">
        <f t="shared" si="47"/>
        <v>89.15</v>
      </c>
      <c r="AH93" s="26">
        <f t="shared" si="43"/>
        <v>541.16408255070269</v>
      </c>
      <c r="AI93" s="26">
        <f t="shared" si="24"/>
        <v>0.69612910638442915</v>
      </c>
      <c r="AJ93" s="26">
        <f t="shared" si="42"/>
        <v>226.87149823234031</v>
      </c>
      <c r="AK93" s="28">
        <f t="shared" si="26"/>
        <v>3.4544607523993157E-10</v>
      </c>
      <c r="AL93">
        <f t="shared" si="27"/>
        <v>8.2028259443911713E-17</v>
      </c>
      <c r="AM93" s="15">
        <f t="shared" si="28"/>
        <v>0</v>
      </c>
      <c r="AN93">
        <f t="shared" si="29"/>
        <v>3.8499999999999943</v>
      </c>
      <c r="AO93" s="28">
        <f t="shared" si="45"/>
        <v>1.8490973558424333E-41</v>
      </c>
      <c r="AP93" s="28">
        <f t="shared" si="44"/>
        <v>1.8490973558424332E-29</v>
      </c>
      <c r="AQ93" s="28">
        <f t="shared" si="32"/>
        <v>1.0377870343731038E+17</v>
      </c>
      <c r="AR93" s="26">
        <f t="shared" si="41"/>
        <v>192.42807656145484</v>
      </c>
      <c r="AS93" s="26">
        <f t="shared" si="33"/>
        <v>2.8887666551075739</v>
      </c>
      <c r="AT93" s="26">
        <f t="shared" si="34"/>
        <v>9729.1171081271241</v>
      </c>
      <c r="AU93" s="26">
        <f t="shared" si="35"/>
        <v>0.10994501997266021</v>
      </c>
      <c r="AV93" s="28">
        <f t="shared" si="36"/>
        <v>0.16618858245573476</v>
      </c>
      <c r="AW93" s="30">
        <f t="shared" si="37"/>
        <v>1834052403365.1294</v>
      </c>
      <c r="AY93">
        <v>298.14999999999998</v>
      </c>
      <c r="AZ93" s="26">
        <f t="shared" si="38"/>
        <v>0.11343573297000001</v>
      </c>
    </row>
    <row r="94" spans="1:52" x14ac:dyDescent="0.3">
      <c r="A94">
        <v>94</v>
      </c>
      <c r="B94" t="s">
        <v>200</v>
      </c>
      <c r="C94" t="s">
        <v>102</v>
      </c>
      <c r="D94" t="s">
        <v>242</v>
      </c>
      <c r="E94" s="23">
        <v>228</v>
      </c>
      <c r="F94">
        <f t="shared" si="39"/>
        <v>134</v>
      </c>
      <c r="G94" s="26">
        <f t="shared" si="46"/>
        <v>229.89662052</v>
      </c>
      <c r="H94" s="26">
        <f>(G94-(A94*'Atomic Particles'!C1))/'Atomic Particles'!C2+A94</f>
        <v>228.05088828934524</v>
      </c>
      <c r="I94" s="26">
        <f t="shared" si="21"/>
        <v>0.74270485690386112</v>
      </c>
      <c r="J94" s="26">
        <f>(('Atomic Particles'!C1)*A94)+(('Atomic Particles'!C2)*Elements!F94)</f>
        <v>229.84529123685013</v>
      </c>
      <c r="K94" s="30">
        <f>(E94^(1/3))*Constants!B2</f>
        <v>7.6363934303620087E-15</v>
      </c>
      <c r="L94" s="24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 s="26">
        <f t="shared" si="47"/>
        <v>91.15</v>
      </c>
      <c r="AH94" s="26">
        <f t="shared" si="43"/>
        <v>222.45084810899155</v>
      </c>
      <c r="AI94" s="26">
        <f t="shared" si="24"/>
        <v>1.7160794918004623</v>
      </c>
      <c r="AJ94" s="26">
        <f t="shared" si="42"/>
        <v>229.89665311076524</v>
      </c>
      <c r="AK94" s="28">
        <f t="shared" si="26"/>
        <v>4.6665522444692527E-10</v>
      </c>
      <c r="AL94">
        <f t="shared" si="27"/>
        <v>1.4969084341118899E-16</v>
      </c>
      <c r="AM94" s="15">
        <f t="shared" si="28"/>
        <v>0</v>
      </c>
      <c r="AN94">
        <f t="shared" si="29"/>
        <v>2.8499999999999943</v>
      </c>
      <c r="AO94" s="28">
        <f t="shared" si="45"/>
        <v>4.558347038790963E-41</v>
      </c>
      <c r="AP94" s="28">
        <f t="shared" si="44"/>
        <v>4.5583470387909629E-29</v>
      </c>
      <c r="AQ94" s="28">
        <f t="shared" si="32"/>
        <v>6.6451821343357328E+16</v>
      </c>
      <c r="AR94" s="26">
        <f t="shared" si="41"/>
        <v>259.94669991635141</v>
      </c>
      <c r="AS94" s="26">
        <f t="shared" si="33"/>
        <v>4.5114257508604449</v>
      </c>
      <c r="AT94" s="26">
        <f t="shared" si="34"/>
        <v>5331.4052090242867</v>
      </c>
      <c r="AU94" s="26">
        <f t="shared" si="35"/>
        <v>0.10849827978149873</v>
      </c>
      <c r="AV94" s="28">
        <f t="shared" si="36"/>
        <v>0.40968380076063388</v>
      </c>
      <c r="AW94" s="30">
        <f t="shared" si="37"/>
        <v>743984918366.0282</v>
      </c>
      <c r="AY94">
        <v>298.14999999999998</v>
      </c>
      <c r="AZ94" s="26">
        <f t="shared" si="38"/>
        <v>0.11494831026000001</v>
      </c>
    </row>
    <row r="95" spans="1:52" x14ac:dyDescent="0.3">
      <c r="A95">
        <v>95</v>
      </c>
      <c r="B95" t="s">
        <v>201</v>
      </c>
      <c r="C95" t="s">
        <v>103</v>
      </c>
      <c r="D95" t="s">
        <v>242</v>
      </c>
      <c r="E95" s="23">
        <v>231</v>
      </c>
      <c r="F95">
        <f t="shared" si="39"/>
        <v>136</v>
      </c>
      <c r="G95" s="26">
        <f t="shared" si="46"/>
        <v>232.92177510000002</v>
      </c>
      <c r="H95" s="26">
        <f>(G95-(A95*'Atomic Particles'!C1))/'Atomic Particles'!C2+A95</f>
        <v>231.05142913060109</v>
      </c>
      <c r="I95" s="26">
        <f t="shared" si="21"/>
        <v>0.74270485690386112</v>
      </c>
      <c r="J95" s="26">
        <f>(('Atomic Particles'!C1)*A95)+(('Atomic Particles'!C2)*Elements!F95)</f>
        <v>232.8699002887077</v>
      </c>
      <c r="K95" s="30">
        <f>(E95^(1/3))*Constants!B2</f>
        <v>7.669740549577448E-15</v>
      </c>
      <c r="L95" s="24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 s="26">
        <f t="shared" si="47"/>
        <v>92.15</v>
      </c>
      <c r="AH95" s="26">
        <f t="shared" si="43"/>
        <v>225.37802555274723</v>
      </c>
      <c r="AI95" s="26">
        <f t="shared" si="24"/>
        <v>1.7160794918004623</v>
      </c>
      <c r="AJ95" s="26">
        <f t="shared" si="42"/>
        <v>232.9218079891902</v>
      </c>
      <c r="AK95" s="28">
        <f t="shared" si="26"/>
        <v>4.6665522444692527E-10</v>
      </c>
      <c r="AL95">
        <f t="shared" si="27"/>
        <v>1.4969084341118899E-16</v>
      </c>
      <c r="AM95" s="15">
        <f t="shared" si="28"/>
        <v>0</v>
      </c>
      <c r="AN95">
        <f t="shared" si="29"/>
        <v>2.8499999999999943</v>
      </c>
      <c r="AO95" s="28">
        <f t="shared" si="45"/>
        <v>4.558347038790963E-41</v>
      </c>
      <c r="AP95" s="28">
        <f t="shared" si="44"/>
        <v>4.5583470387909629E-29</v>
      </c>
      <c r="AQ95" s="28">
        <f t="shared" si="32"/>
        <v>6.680435337337764E+16</v>
      </c>
      <c r="AR95" s="26">
        <f t="shared" si="41"/>
        <v>259.94669991635141</v>
      </c>
      <c r="AS95" s="26">
        <f t="shared" si="33"/>
        <v>4.4876185886333415</v>
      </c>
      <c r="AT95" s="26">
        <f t="shared" si="34"/>
        <v>5331.4052090242867</v>
      </c>
      <c r="AU95" s="26">
        <f t="shared" si="35"/>
        <v>0.10708911969819518</v>
      </c>
      <c r="AV95" s="28">
        <f t="shared" si="36"/>
        <v>0.40968380076063388</v>
      </c>
      <c r="AW95" s="30">
        <f t="shared" si="37"/>
        <v>743984918366.0282</v>
      </c>
      <c r="AY95">
        <v>298.14999999999998</v>
      </c>
      <c r="AZ95" s="26">
        <f t="shared" si="38"/>
        <v>0.11646088755000002</v>
      </c>
    </row>
    <row r="96" spans="1:52" x14ac:dyDescent="0.3">
      <c r="A96">
        <v>96</v>
      </c>
      <c r="B96" t="s">
        <v>202</v>
      </c>
      <c r="C96" t="s">
        <v>104</v>
      </c>
      <c r="D96" t="s">
        <v>242</v>
      </c>
      <c r="E96" s="23">
        <v>232</v>
      </c>
      <c r="F96">
        <f t="shared" si="39"/>
        <v>136</v>
      </c>
      <c r="G96" s="26">
        <f t="shared" si="46"/>
        <v>233.92959968</v>
      </c>
      <c r="H96" s="26">
        <f>(G96-(A96*'Atomic Particles'!C1))/'Atomic Particles'!C2+A96</f>
        <v>232.05197179449755</v>
      </c>
      <c r="I96" s="26">
        <f t="shared" si="21"/>
        <v>0.70556961405866669</v>
      </c>
      <c r="J96" s="26">
        <f>(('Atomic Particles'!C1)*A96)+(('Atomic Particles'!C2)*Elements!F96)</f>
        <v>233.87717750212971</v>
      </c>
      <c r="K96" s="30">
        <f>(E96^(1/3))*Constants!B2</f>
        <v>7.6807920642146183E-15</v>
      </c>
      <c r="L96" s="24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 s="26">
        <f t="shared" si="47"/>
        <v>93</v>
      </c>
      <c r="AH96" s="26">
        <f t="shared" si="43"/>
        <v>264.00724214420944</v>
      </c>
      <c r="AI96" s="26">
        <f t="shared" si="24"/>
        <v>1.4713236542824129</v>
      </c>
      <c r="AJ96" s="26">
        <f t="shared" si="42"/>
        <v>233.92963303571966</v>
      </c>
      <c r="AK96" s="28">
        <f t="shared" si="26"/>
        <v>4.4332246322457815E-10</v>
      </c>
      <c r="AL96">
        <f t="shared" si="27"/>
        <v>1.3509598617859751E-16</v>
      </c>
      <c r="AM96" s="15">
        <f t="shared" si="28"/>
        <v>0</v>
      </c>
      <c r="AN96">
        <f t="shared" si="29"/>
        <v>3</v>
      </c>
      <c r="AO96" s="28">
        <f t="shared" si="45"/>
        <v>3.9082127923833786E-41</v>
      </c>
      <c r="AP96" s="28">
        <f t="shared" si="44"/>
        <v>3.9082127923833785E-29</v>
      </c>
      <c r="AQ96" s="28">
        <f t="shared" si="32"/>
        <v>7.2525907306970336E+16</v>
      </c>
      <c r="AR96" s="26">
        <f t="shared" si="41"/>
        <v>246.94936492053336</v>
      </c>
      <c r="AS96" s="26">
        <f t="shared" si="33"/>
        <v>4.1335912797493188</v>
      </c>
      <c r="AT96" s="26">
        <f t="shared" si="34"/>
        <v>5907.3741928247182</v>
      </c>
      <c r="AU96" s="26">
        <f t="shared" si="35"/>
        <v>0.10662775419665096</v>
      </c>
      <c r="AV96" s="28">
        <f t="shared" si="36"/>
        <v>0.3512526486771464</v>
      </c>
      <c r="AW96" s="30">
        <f t="shared" si="37"/>
        <v>867747389842.28894</v>
      </c>
      <c r="AY96">
        <v>298.14999999999998</v>
      </c>
      <c r="AZ96" s="26">
        <f t="shared" si="38"/>
        <v>0.11696479983999999</v>
      </c>
    </row>
    <row r="97" spans="1:52" x14ac:dyDescent="0.3">
      <c r="A97">
        <v>97</v>
      </c>
      <c r="B97" t="s">
        <v>203</v>
      </c>
      <c r="C97" t="s">
        <v>105</v>
      </c>
      <c r="D97" t="s">
        <v>242</v>
      </c>
      <c r="E97" s="23">
        <v>234</v>
      </c>
      <c r="F97">
        <f t="shared" si="39"/>
        <v>137</v>
      </c>
      <c r="G97" s="26">
        <f t="shared" si="46"/>
        <v>235.94608926000001</v>
      </c>
      <c r="H97" s="26">
        <f>(G97-(A97*'Atomic Particles'!C1))/'Atomic Particles'!C2+A97</f>
        <v>234.05251354707372</v>
      </c>
      <c r="I97" s="26">
        <f t="shared" si="21"/>
        <v>0.74270485690386112</v>
      </c>
      <c r="J97" s="26">
        <f>(('Atomic Particles'!C1)*A97)+(('Atomic Particles'!C2)*Elements!F97)</f>
        <v>235.8931206347695</v>
      </c>
      <c r="K97" s="30">
        <f>(E97^(1/3))*Constants!B92</f>
        <v>0</v>
      </c>
      <c r="L97" s="24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 s="26">
        <f t="shared" si="47"/>
        <v>94.15</v>
      </c>
      <c r="AH97" s="26">
        <f t="shared" si="43"/>
        <v>228.3043897955896</v>
      </c>
      <c r="AI97" s="26">
        <f t="shared" si="24"/>
        <v>1.7160794918004623</v>
      </c>
      <c r="AJ97" s="26">
        <f t="shared" si="42"/>
        <v>235.94612299819684</v>
      </c>
      <c r="AK97" s="28">
        <f t="shared" si="26"/>
        <v>4.6665522444692527E-10</v>
      </c>
      <c r="AL97">
        <f t="shared" si="27"/>
        <v>1.4969084341118899E-16</v>
      </c>
      <c r="AM97" s="15">
        <f t="shared" si="28"/>
        <v>0</v>
      </c>
      <c r="AN97">
        <f t="shared" si="29"/>
        <v>2.8499999999999943</v>
      </c>
      <c r="AO97" s="28">
        <f t="shared" si="45"/>
        <v>4.558347038790963E-41</v>
      </c>
      <c r="AP97" s="28">
        <f t="shared" si="44"/>
        <v>4.5583470387909629E-29</v>
      </c>
      <c r="AQ97" s="28">
        <f t="shared" si="32"/>
        <v>6.750389447436628E+16</v>
      </c>
      <c r="AR97" s="26">
        <f t="shared" si="41"/>
        <v>259.94669991635141</v>
      </c>
      <c r="AS97" s="26">
        <f t="shared" si="33"/>
        <v>4.4411135140335087</v>
      </c>
      <c r="AT97" s="26">
        <f t="shared" si="34"/>
        <v>5331.4052090242867</v>
      </c>
      <c r="AU97" s="26">
        <f t="shared" si="35"/>
        <v>0.10571647079309596</v>
      </c>
      <c r="AV97" s="28">
        <f t="shared" si="36"/>
        <v>0.40968380076063388</v>
      </c>
      <c r="AW97" s="30">
        <f t="shared" si="37"/>
        <v>743984918366.0282</v>
      </c>
      <c r="AY97">
        <v>298.14999999999998</v>
      </c>
      <c r="AZ97" s="26">
        <f t="shared" si="38"/>
        <v>0.11797304463000001</v>
      </c>
    </row>
    <row r="98" spans="1:52" x14ac:dyDescent="0.3">
      <c r="A98">
        <v>98</v>
      </c>
      <c r="B98" t="s">
        <v>204</v>
      </c>
      <c r="C98" t="s">
        <v>106</v>
      </c>
      <c r="D98" t="s">
        <v>242</v>
      </c>
      <c r="E98" s="23">
        <v>237</v>
      </c>
      <c r="F98">
        <f t="shared" si="39"/>
        <v>139</v>
      </c>
      <c r="G98" s="26">
        <f t="shared" si="46"/>
        <v>238.97124384</v>
      </c>
      <c r="H98" s="26">
        <f>(G98-(A98*'Atomic Particles'!C1))/'Atomic Particles'!C2+A98</f>
        <v>237.05305438832954</v>
      </c>
      <c r="I98" s="26">
        <f t="shared" si="21"/>
        <v>0.74270485690386112</v>
      </c>
      <c r="J98" s="26">
        <f>(('Atomic Particles'!C1)*A98)+(('Atomic Particles'!C2)*Elements!F98)</f>
        <v>238.91772968662707</v>
      </c>
      <c r="K98" s="30">
        <f>(E98^(1/3))*Constants!B93</f>
        <v>0</v>
      </c>
      <c r="L98" s="24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 s="26">
        <f t="shared" si="47"/>
        <v>95.15</v>
      </c>
      <c r="AH98" s="26">
        <f t="shared" si="43"/>
        <v>231.23156723934528</v>
      </c>
      <c r="AI98" s="26">
        <f t="shared" si="24"/>
        <v>1.7160794918004623</v>
      </c>
      <c r="AJ98" s="26">
        <f t="shared" si="42"/>
        <v>238.97127787662177</v>
      </c>
      <c r="AK98" s="28">
        <f t="shared" si="26"/>
        <v>4.6665522444692527E-10</v>
      </c>
      <c r="AL98">
        <f t="shared" si="27"/>
        <v>1.4969084341118899E-16</v>
      </c>
      <c r="AM98" s="15">
        <f t="shared" si="28"/>
        <v>0</v>
      </c>
      <c r="AN98">
        <f t="shared" si="29"/>
        <v>2.8499999999999943</v>
      </c>
      <c r="AO98" s="28">
        <f t="shared" si="45"/>
        <v>4.558347038790963E-41</v>
      </c>
      <c r="AP98" s="28">
        <f t="shared" si="44"/>
        <v>4.5583470387909629E-29</v>
      </c>
      <c r="AQ98" s="28">
        <f t="shared" si="32"/>
        <v>6.785096048687896E+16</v>
      </c>
      <c r="AR98" s="26">
        <f t="shared" si="41"/>
        <v>259.94669991635141</v>
      </c>
      <c r="AS98" s="26">
        <f t="shared" si="33"/>
        <v>4.4183966718934506</v>
      </c>
      <c r="AT98" s="26">
        <f t="shared" si="34"/>
        <v>5331.4052090242867</v>
      </c>
      <c r="AU98" s="26">
        <f t="shared" si="35"/>
        <v>0.10437819820153973</v>
      </c>
      <c r="AV98" s="28">
        <f t="shared" si="36"/>
        <v>0.40968380076063388</v>
      </c>
      <c r="AW98" s="30">
        <f t="shared" si="37"/>
        <v>743984918366.0282</v>
      </c>
      <c r="AY98">
        <v>298.14999999999998</v>
      </c>
      <c r="AZ98" s="26">
        <f t="shared" si="38"/>
        <v>0.11948562192000001</v>
      </c>
    </row>
    <row r="99" spans="1:52" x14ac:dyDescent="0.3">
      <c r="A99">
        <v>99</v>
      </c>
      <c r="B99" t="s">
        <v>205</v>
      </c>
      <c r="C99" t="s">
        <v>107</v>
      </c>
      <c r="D99" t="s">
        <v>242</v>
      </c>
      <c r="E99" s="23">
        <v>240</v>
      </c>
      <c r="F99">
        <f t="shared" si="39"/>
        <v>141</v>
      </c>
      <c r="G99" s="26">
        <f t="shared" si="46"/>
        <v>241.99639841999999</v>
      </c>
      <c r="H99" s="26">
        <f>(G99-(A99*'Atomic Particles'!C1))/'Atomic Particles'!C2+A99</f>
        <v>240.05359522958537</v>
      </c>
      <c r="I99" s="26">
        <f t="shared" si="21"/>
        <v>0.74270485690386112</v>
      </c>
      <c r="J99" s="26">
        <f>(('Atomic Particles'!C1)*A99)+(('Atomic Particles'!C2)*Elements!F99)</f>
        <v>241.94233873848458</v>
      </c>
      <c r="K99" s="30">
        <f>(E99^(1/3))*Constants!B94</f>
        <v>0</v>
      </c>
      <c r="L99" s="24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 s="26">
        <f t="shared" si="47"/>
        <v>96.15</v>
      </c>
      <c r="AH99" s="26">
        <f t="shared" si="43"/>
        <v>234.15874468310093</v>
      </c>
      <c r="AI99" s="26">
        <f t="shared" si="24"/>
        <v>1.7160794918004623</v>
      </c>
      <c r="AJ99" s="26">
        <f t="shared" si="42"/>
        <v>241.9964327550467</v>
      </c>
      <c r="AK99" s="28">
        <f t="shared" si="26"/>
        <v>4.6665522444692527E-10</v>
      </c>
      <c r="AL99">
        <f t="shared" si="27"/>
        <v>1.4969084341118899E-16</v>
      </c>
      <c r="AM99" s="15">
        <f t="shared" si="28"/>
        <v>0</v>
      </c>
      <c r="AN99">
        <f t="shared" si="29"/>
        <v>2.8499999999999943</v>
      </c>
      <c r="AO99" s="28">
        <f t="shared" si="45"/>
        <v>4.558347038790963E-41</v>
      </c>
      <c r="AP99" s="28">
        <f t="shared" si="44"/>
        <v>4.5583470387909629E-29</v>
      </c>
      <c r="AQ99" s="28">
        <f t="shared" si="32"/>
        <v>6.819626022574584E+16</v>
      </c>
      <c r="AR99" s="26">
        <f t="shared" si="41"/>
        <v>259.94669991635141</v>
      </c>
      <c r="AS99" s="26">
        <f>299792458000000000 / AQ99</f>
        <v>4.3960248994243329</v>
      </c>
      <c r="AT99" s="26">
        <f t="shared" si="34"/>
        <v>5331.4052090242867</v>
      </c>
      <c r="AU99" s="26">
        <f t="shared" si="35"/>
        <v>0.10307338463239928</v>
      </c>
      <c r="AV99" s="28">
        <f t="shared" si="36"/>
        <v>0.40968380076063388</v>
      </c>
      <c r="AW99" s="30">
        <f t="shared" si="37"/>
        <v>743984918366.0282</v>
      </c>
      <c r="AY99">
        <v>298.14999999999998</v>
      </c>
      <c r="AZ99" s="26">
        <f t="shared" si="38"/>
        <v>0.12099819920999999</v>
      </c>
    </row>
    <row r="100" spans="1:52" x14ac:dyDescent="0.3">
      <c r="A100">
        <v>100</v>
      </c>
      <c r="B100" t="s">
        <v>206</v>
      </c>
      <c r="C100" t="s">
        <v>108</v>
      </c>
      <c r="D100" t="s">
        <v>242</v>
      </c>
      <c r="E100" s="23">
        <v>241</v>
      </c>
      <c r="F100">
        <f t="shared" si="39"/>
        <v>141</v>
      </c>
      <c r="G100" s="26">
        <f t="shared" si="46"/>
        <v>243.004223</v>
      </c>
      <c r="H100" s="26">
        <f>(G100-(A100*'Atomic Particles'!C1))/'Atomic Particles'!C2+A100</f>
        <v>241.05413789348182</v>
      </c>
      <c r="I100" s="26">
        <f t="shared" si="21"/>
        <v>0.74270485690386112</v>
      </c>
      <c r="J100" s="26">
        <f>(('Atomic Particles'!C1)*A100)+(('Atomic Particles'!C2)*Elements!F100)</f>
        <v>242.94961595190662</v>
      </c>
      <c r="K100" s="30">
        <f>(E100^(1/3))*Constants!B95</f>
        <v>0</v>
      </c>
      <c r="L100" s="24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 s="26">
        <f t="shared" si="47"/>
        <v>97.15</v>
      </c>
      <c r="AH100" s="26">
        <f t="shared" si="43"/>
        <v>235.13392836374396</v>
      </c>
      <c r="AI100" s="26">
        <f t="shared" si="24"/>
        <v>1.7160794918004623</v>
      </c>
      <c r="AJ100" s="26">
        <f t="shared" si="42"/>
        <v>243.00425780157616</v>
      </c>
      <c r="AK100" s="28">
        <f t="shared" si="26"/>
        <v>4.6665522444692527E-10</v>
      </c>
      <c r="AL100">
        <f t="shared" si="27"/>
        <v>1.4969084341118899E-16</v>
      </c>
      <c r="AM100" s="15">
        <f t="shared" si="28"/>
        <v>0</v>
      </c>
      <c r="AN100">
        <f t="shared" si="29"/>
        <v>2.8499999999999943</v>
      </c>
      <c r="AO100" s="28">
        <f t="shared" si="45"/>
        <v>4.558347038790963E-41</v>
      </c>
      <c r="AP100" s="28">
        <f t="shared" si="44"/>
        <v>4.5583470387909629E-29</v>
      </c>
      <c r="AQ100" s="28">
        <f t="shared" si="32"/>
        <v>6.8539820386132296E+16</v>
      </c>
      <c r="AR100" s="26">
        <f t="shared" si="41"/>
        <v>259.94669991635141</v>
      </c>
      <c r="AS100" s="26">
        <f t="shared" ref="AS100:AS118" si="48">299792458000000000 / AQ100</f>
        <v>4.3739895481351043</v>
      </c>
      <c r="AT100" s="26">
        <f t="shared" si="34"/>
        <v>5331.4052090242867</v>
      </c>
      <c r="AU100" s="26">
        <f t="shared" si="35"/>
        <v>0.10264590279980443</v>
      </c>
      <c r="AV100" s="28">
        <f t="shared" si="36"/>
        <v>0.40968380076063388</v>
      </c>
      <c r="AW100" s="30">
        <f t="shared" si="37"/>
        <v>743984918366.0282</v>
      </c>
      <c r="AY100">
        <v>298.14999999999998</v>
      </c>
      <c r="AZ100" s="26">
        <f t="shared" si="38"/>
        <v>0.1215021115</v>
      </c>
    </row>
    <row r="101" spans="1:52" x14ac:dyDescent="0.3">
      <c r="A101">
        <v>101</v>
      </c>
      <c r="B101" t="s">
        <v>207</v>
      </c>
      <c r="C101" t="s">
        <v>109</v>
      </c>
      <c r="D101" t="s">
        <v>242</v>
      </c>
      <c r="E101" s="23">
        <v>246</v>
      </c>
      <c r="F101">
        <f t="shared" si="39"/>
        <v>145</v>
      </c>
      <c r="G101" s="26">
        <f t="shared" si="46"/>
        <v>248.04670757999997</v>
      </c>
      <c r="H101" s="26">
        <f>(G101-(A101*'Atomic Particles'!C1))/'Atomic Particles'!C2+A101</f>
        <v>246.05467691209702</v>
      </c>
      <c r="I101" s="26">
        <f t="shared" si="21"/>
        <v>0.74270485690386112</v>
      </c>
      <c r="J101" s="26">
        <f>(('Atomic Particles'!C1)*A101)+(('Atomic Particles'!C2)*Elements!F101)</f>
        <v>247.99155684219966</v>
      </c>
      <c r="K101" s="30">
        <f>(E101^(1/3))*Constants!B96</f>
        <v>0</v>
      </c>
      <c r="L101" s="24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 s="26">
        <f t="shared" si="47"/>
        <v>98.15</v>
      </c>
      <c r="AH101" s="26">
        <f t="shared" si="43"/>
        <v>240.01309957061224</v>
      </c>
      <c r="AI101" s="26">
        <f t="shared" si="24"/>
        <v>1.7160794918004623</v>
      </c>
      <c r="AJ101" s="26">
        <f t="shared" si="42"/>
        <v>248.0467425118965</v>
      </c>
      <c r="AK101" s="28">
        <f t="shared" si="26"/>
        <v>4.6665522444692527E-10</v>
      </c>
      <c r="AL101">
        <f t="shared" si="27"/>
        <v>1.4969084341118899E-16</v>
      </c>
      <c r="AM101" s="15">
        <f t="shared" si="28"/>
        <v>0</v>
      </c>
      <c r="AN101">
        <f t="shared" si="29"/>
        <v>2.8499999999999943</v>
      </c>
      <c r="AO101" s="28">
        <f t="shared" si="45"/>
        <v>4.558347038790963E-41</v>
      </c>
      <c r="AP101" s="28">
        <f t="shared" si="44"/>
        <v>4.5583470387909629E-29</v>
      </c>
      <c r="AQ101" s="28">
        <f t="shared" si="32"/>
        <v>6.888166699745956E+16</v>
      </c>
      <c r="AR101" s="26">
        <f t="shared" si="41"/>
        <v>259.94669991635141</v>
      </c>
      <c r="AS101" s="26">
        <f t="shared" si="48"/>
        <v>4.3522822699842134</v>
      </c>
      <c r="AT101" s="26">
        <f t="shared" si="34"/>
        <v>5331.4052090242867</v>
      </c>
      <c r="AU101" s="26">
        <f t="shared" si="35"/>
        <v>0.10055923780385299</v>
      </c>
      <c r="AV101" s="28">
        <f t="shared" si="36"/>
        <v>0.40968380076063388</v>
      </c>
      <c r="AW101" s="30">
        <f t="shared" si="37"/>
        <v>743984918366.0282</v>
      </c>
      <c r="AY101">
        <v>298.14999999999998</v>
      </c>
      <c r="AZ101" s="26">
        <f t="shared" si="38"/>
        <v>0.12402335378999998</v>
      </c>
    </row>
    <row r="102" spans="1:52" x14ac:dyDescent="0.3">
      <c r="A102">
        <v>102</v>
      </c>
      <c r="B102" t="s">
        <v>208</v>
      </c>
      <c r="C102" t="s">
        <v>110</v>
      </c>
      <c r="D102" t="s">
        <v>242</v>
      </c>
      <c r="E102" s="23">
        <v>250</v>
      </c>
      <c r="F102">
        <f t="shared" si="39"/>
        <v>148</v>
      </c>
      <c r="G102" s="26">
        <f t="shared" si="46"/>
        <v>252.08052716</v>
      </c>
      <c r="H102" s="26">
        <f>(G102-(A102*'Atomic Particles'!C1))/'Atomic Particles'!C2+A102</f>
        <v>250.05521684203254</v>
      </c>
      <c r="I102" s="26">
        <f t="shared" si="21"/>
        <v>0.74270485690386112</v>
      </c>
      <c r="J102" s="26">
        <f>(('Atomic Particles'!C1)*A102)+(('Atomic Particles'!C2)*Elements!F102)</f>
        <v>252.02483181327494</v>
      </c>
      <c r="K102" s="30">
        <f>(E102^(1/3))*Constants!B97</f>
        <v>0</v>
      </c>
      <c r="L102" s="24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 s="26">
        <f t="shared" si="47"/>
        <v>99.15</v>
      </c>
      <c r="AH102" s="26">
        <f>(G102 * 1.6605E-24) / (AI102 * 1E-24)</f>
        <v>243.91627389592426</v>
      </c>
      <c r="AI102" s="26">
        <f t="shared" si="24"/>
        <v>1.7160794918004623</v>
      </c>
      <c r="AJ102" s="26">
        <f t="shared" si="42"/>
        <v>252.0805623062692</v>
      </c>
      <c r="AK102" s="28">
        <f t="shared" si="26"/>
        <v>4.6665522444692527E-10</v>
      </c>
      <c r="AL102">
        <f t="shared" si="27"/>
        <v>1.4969084341118899E-16</v>
      </c>
      <c r="AM102" s="15">
        <f t="shared" si="28"/>
        <v>0</v>
      </c>
      <c r="AN102">
        <f t="shared" si="29"/>
        <v>2.8499999999999943</v>
      </c>
      <c r="AO102" s="28">
        <f t="shared" si="45"/>
        <v>4.558347038790963E-41</v>
      </c>
      <c r="AP102" s="28">
        <f t="shared" si="44"/>
        <v>4.5583470387909629E-29</v>
      </c>
      <c r="AQ102" s="28">
        <f t="shared" si="32"/>
        <v>6.9221825446419296E+16</v>
      </c>
      <c r="AR102" s="26">
        <f t="shared" si="41"/>
        <v>259.94669991635141</v>
      </c>
      <c r="AS102" s="26">
        <f t="shared" si="48"/>
        <v>4.3308950040916274</v>
      </c>
      <c r="AT102" s="26">
        <f t="shared" si="34"/>
        <v>5331.4052090242867</v>
      </c>
      <c r="AU102" s="26">
        <f t="shared" si="35"/>
        <v>9.8950078115982318E-2</v>
      </c>
      <c r="AV102" s="28">
        <f t="shared" si="36"/>
        <v>0.40968380076063388</v>
      </c>
      <c r="AW102" s="30">
        <f t="shared" si="37"/>
        <v>743984918366.0282</v>
      </c>
      <c r="AY102">
        <v>298.14999999999998</v>
      </c>
      <c r="AZ102" s="26">
        <f t="shared" si="38"/>
        <v>0.12604026357999998</v>
      </c>
    </row>
    <row r="103" spans="1:52" x14ac:dyDescent="0.3">
      <c r="A103">
        <v>103</v>
      </c>
      <c r="B103" t="s">
        <v>209</v>
      </c>
      <c r="C103" t="s">
        <v>111</v>
      </c>
      <c r="D103" t="s">
        <v>242</v>
      </c>
      <c r="E103" s="23">
        <v>252</v>
      </c>
      <c r="F103">
        <f t="shared" si="39"/>
        <v>149</v>
      </c>
      <c r="G103" s="26">
        <f t="shared" si="46"/>
        <v>254.09701673999999</v>
      </c>
      <c r="H103" s="26">
        <f>(G103-(A103*'Atomic Particles'!C1))/'Atomic Particles'!C2+A103</f>
        <v>252.05575859460865</v>
      </c>
      <c r="I103" s="26">
        <f t="shared" si="21"/>
        <v>0.60477395490742858</v>
      </c>
      <c r="J103" s="26">
        <f>(('Atomic Particles'!C1)*A103)+(('Atomic Particles'!C2)*Elements!F103)</f>
        <v>254.04077494591476</v>
      </c>
      <c r="K103" s="30">
        <f>(E103^(1/3))*Constants!B98</f>
        <v>0</v>
      </c>
      <c r="L103" s="24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 s="26">
        <f t="shared" si="47"/>
        <v>99.5</v>
      </c>
      <c r="AH103" s="26">
        <f t="shared" ref="AH103:AH118" si="49">(G103 * 1.6605E-24) / (AI103 * 1E-24)</f>
        <v>455.37648225978774</v>
      </c>
      <c r="AI103" s="26">
        <f t="shared" si="24"/>
        <v>0.92654784059767115</v>
      </c>
      <c r="AJ103" s="26">
        <f t="shared" si="42"/>
        <v>254.09705226874638</v>
      </c>
      <c r="AK103" s="28">
        <f t="shared" si="26"/>
        <v>3.7999068276392411E-10</v>
      </c>
      <c r="AL103">
        <f t="shared" si="27"/>
        <v>9.9254193927132869E-17</v>
      </c>
      <c r="AM103" s="15">
        <f t="shared" si="28"/>
        <v>0</v>
      </c>
      <c r="AN103">
        <f t="shared" si="29"/>
        <v>3.5</v>
      </c>
      <c r="AO103" s="28">
        <f t="shared" si="45"/>
        <v>2.4611485806262674E-41</v>
      </c>
      <c r="AP103" s="28">
        <f t="shared" si="44"/>
        <v>2.4611485806262675E-29</v>
      </c>
      <c r="AQ103" s="28">
        <f t="shared" si="32"/>
        <v>9.466650656870536E+16</v>
      </c>
      <c r="AR103" s="26">
        <f t="shared" si="41"/>
        <v>211.67088421759999</v>
      </c>
      <c r="AS103" s="26">
        <f t="shared" si="48"/>
        <v>3.1668270950974833</v>
      </c>
      <c r="AT103" s="26">
        <f t="shared" si="34"/>
        <v>8040.5926513447557</v>
      </c>
      <c r="AU103" s="26">
        <f t="shared" si="35"/>
        <v>9.8164819776388232E-2</v>
      </c>
      <c r="AV103" s="28">
        <f t="shared" si="36"/>
        <v>0.22119700324858196</v>
      </c>
      <c r="AW103" s="30">
        <f t="shared" si="37"/>
        <v>1377950716277.3386</v>
      </c>
      <c r="AY103">
        <v>298.14999999999998</v>
      </c>
      <c r="AZ103" s="26">
        <f t="shared" si="38"/>
        <v>0.12704850836999998</v>
      </c>
    </row>
    <row r="104" spans="1:52" x14ac:dyDescent="0.3">
      <c r="A104">
        <v>104</v>
      </c>
      <c r="B104" t="s">
        <v>210</v>
      </c>
      <c r="C104" t="s">
        <v>18</v>
      </c>
      <c r="D104" t="s">
        <v>243</v>
      </c>
      <c r="E104" s="23">
        <v>255</v>
      </c>
      <c r="F104">
        <f t="shared" si="39"/>
        <v>151</v>
      </c>
      <c r="G104" s="26">
        <f t="shared" si="46"/>
        <v>257.12217132000001</v>
      </c>
      <c r="H104" s="26">
        <f>(G104-(A104*'Atomic Particles'!C1))/'Atomic Particles'!C2+A104</f>
        <v>255.0562994358645</v>
      </c>
      <c r="I104" s="26">
        <f t="shared" si="21"/>
        <v>0.67197106100825277</v>
      </c>
      <c r="J104" s="26">
        <f>(('Atomic Particles'!C1)*A104)+(('Atomic Particles'!C2)*Elements!F104)</f>
        <v>257.0653839977723</v>
      </c>
      <c r="K104" s="30">
        <f>(E104^(1/3))*Constants!B99</f>
        <v>0</v>
      </c>
      <c r="L104" s="24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 s="26">
        <f t="shared" si="47"/>
        <v>100.85</v>
      </c>
      <c r="AH104" s="26">
        <f t="shared" si="49"/>
        <v>335.92172124848076</v>
      </c>
      <c r="AI104" s="26">
        <f t="shared" si="24"/>
        <v>1.2709846921778682</v>
      </c>
      <c r="AJ104" s="26">
        <f t="shared" si="42"/>
        <v>257.12220714717125</v>
      </c>
      <c r="AK104" s="28">
        <f t="shared" si="26"/>
        <v>4.2221186973769275E-10</v>
      </c>
      <c r="AL104">
        <f t="shared" si="27"/>
        <v>1.2253604188534881E-16</v>
      </c>
      <c r="AM104" s="15">
        <f t="shared" si="28"/>
        <v>0</v>
      </c>
      <c r="AN104">
        <f t="shared" si="29"/>
        <v>3.1500000000000057</v>
      </c>
      <c r="AO104" s="28">
        <f t="shared" si="45"/>
        <v>3.3760611531224347E-41</v>
      </c>
      <c r="AP104" s="28">
        <f t="shared" si="44"/>
        <v>3.3760611531224349E-29</v>
      </c>
      <c r="AQ104" s="28">
        <f t="shared" si="32"/>
        <v>8.1219099927140144E+16</v>
      </c>
      <c r="AR104" s="26">
        <f t="shared" si="41"/>
        <v>235.18987135288847</v>
      </c>
      <c r="AS104" s="26">
        <f t="shared" si="48"/>
        <v>3.691157107982447</v>
      </c>
      <c r="AT104" s="26">
        <f t="shared" si="34"/>
        <v>6512.880047589274</v>
      </c>
      <c r="AU104" s="26">
        <f t="shared" si="35"/>
        <v>9.7009867822549001E-2</v>
      </c>
      <c r="AV104" s="28">
        <f t="shared" si="36"/>
        <v>0.30342524451108482</v>
      </c>
      <c r="AW104" s="30">
        <f t="shared" si="37"/>
        <v>1004526072166.1851</v>
      </c>
      <c r="AY104">
        <v>298.14999999999998</v>
      </c>
      <c r="AZ104" s="26">
        <f t="shared" si="38"/>
        <v>0.12856108566000002</v>
      </c>
    </row>
    <row r="105" spans="1:52" x14ac:dyDescent="0.3">
      <c r="A105">
        <v>105</v>
      </c>
      <c r="B105" t="s">
        <v>211</v>
      </c>
      <c r="C105" t="s">
        <v>19</v>
      </c>
      <c r="D105" t="s">
        <v>243</v>
      </c>
      <c r="E105" s="23">
        <v>257</v>
      </c>
      <c r="F105">
        <f t="shared" si="39"/>
        <v>152</v>
      </c>
      <c r="G105" s="26">
        <f t="shared" si="46"/>
        <v>259.13866089999999</v>
      </c>
      <c r="H105" s="26">
        <f>(G105-(A105*'Atomic Particles'!C1))/'Atomic Particles'!C2+A105</f>
        <v>257.05684118844061</v>
      </c>
      <c r="I105" s="26">
        <f t="shared" si="21"/>
        <v>0.64142692187151573</v>
      </c>
      <c r="J105" s="26">
        <f>(('Atomic Particles'!C1)*A105)+(('Atomic Particles'!C2)*Elements!F105)</f>
        <v>259.08132713041209</v>
      </c>
      <c r="K105" s="30">
        <f>(E105^(1/3))*Constants!B100</f>
        <v>0</v>
      </c>
      <c r="L105" s="24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 s="26">
        <f t="shared" si="47"/>
        <v>101.7</v>
      </c>
      <c r="AH105" s="26">
        <f t="shared" si="49"/>
        <v>389.26103092542905</v>
      </c>
      <c r="AI105" s="26">
        <f t="shared" si="24"/>
        <v>1.1054272383789756</v>
      </c>
      <c r="AJ105" s="26">
        <f t="shared" si="42"/>
        <v>259.13869710964843</v>
      </c>
      <c r="AK105" s="28">
        <f t="shared" si="26"/>
        <v>4.0302042111325325E-10</v>
      </c>
      <c r="AL105">
        <f t="shared" si="27"/>
        <v>1.1164957535421304E-16</v>
      </c>
      <c r="AM105" s="15">
        <f t="shared" si="28"/>
        <v>0</v>
      </c>
      <c r="AN105">
        <f t="shared" si="29"/>
        <v>3.2999999999999972</v>
      </c>
      <c r="AO105" s="28">
        <f>4 * PI() * 8.854187817E-12 * (I105 * 0.0000000001)^3</f>
        <v>2.9362981159905259E-41</v>
      </c>
      <c r="AP105" s="28">
        <f t="shared" si="44"/>
        <v>2.936298115990526E-29</v>
      </c>
      <c r="AQ105" s="28">
        <f t="shared" si="32"/>
        <v>8.750668489502032E+16</v>
      </c>
      <c r="AR105" s="26">
        <f t="shared" si="41"/>
        <v>224.49942265503051</v>
      </c>
      <c r="AS105" s="26">
        <f t="shared" si="48"/>
        <v>3.4259377824637496</v>
      </c>
      <c r="AT105" s="26">
        <f t="shared" si="34"/>
        <v>7147.9227733178968</v>
      </c>
      <c r="AU105" s="26">
        <f t="shared" si="35"/>
        <v>9.6254984753608414E-2</v>
      </c>
      <c r="AV105" s="28">
        <f t="shared" si="36"/>
        <v>0.26390131380702281</v>
      </c>
      <c r="AW105" s="30">
        <f t="shared" si="37"/>
        <v>1154971775880.0835</v>
      </c>
      <c r="AY105">
        <v>298.14999999999998</v>
      </c>
      <c r="AZ105" s="26">
        <f t="shared" si="38"/>
        <v>0.12956933044999999</v>
      </c>
    </row>
    <row r="106" spans="1:52" x14ac:dyDescent="0.3">
      <c r="A106">
        <v>106</v>
      </c>
      <c r="B106" t="s">
        <v>212</v>
      </c>
      <c r="C106" t="s">
        <v>26</v>
      </c>
      <c r="D106" t="s">
        <v>243</v>
      </c>
      <c r="E106" s="23">
        <v>262</v>
      </c>
      <c r="F106">
        <f t="shared" si="39"/>
        <v>156</v>
      </c>
      <c r="G106" s="26">
        <f t="shared" si="46"/>
        <v>264.18114548</v>
      </c>
      <c r="H106" s="26">
        <f>(G106-(A106*'Atomic Particles'!C1))/'Atomic Particles'!C2+A106</f>
        <v>262.05738020705587</v>
      </c>
      <c r="I106" s="26">
        <f t="shared" si="21"/>
        <v>0.61353879483362272</v>
      </c>
      <c r="J106" s="26">
        <f>(('Atomic Particles'!C1)*A106)+(('Atomic Particles'!C2)*Elements!F106)</f>
        <v>264.12326802070515</v>
      </c>
      <c r="K106" s="30">
        <f>(E106^(1/3))*Constants!B101</f>
        <v>0</v>
      </c>
      <c r="L106" s="24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 s="26">
        <f t="shared" si="47"/>
        <v>102.55</v>
      </c>
      <c r="AH106" s="26">
        <f t="shared" si="49"/>
        <v>453.44644646806188</v>
      </c>
      <c r="AI106" s="26">
        <f t="shared" si="24"/>
        <v>0.96741918585183484</v>
      </c>
      <c r="AJ106" s="26">
        <f t="shared" si="42"/>
        <v>264.1811818199688</v>
      </c>
      <c r="AK106" s="28">
        <f t="shared" si="26"/>
        <v>3.8549779410832852E-10</v>
      </c>
      <c r="AL106">
        <f t="shared" si="27"/>
        <v>1.0215197442616055E-16</v>
      </c>
      <c r="AM106" s="15">
        <f t="shared" si="28"/>
        <v>0</v>
      </c>
      <c r="AN106">
        <f t="shared" si="29"/>
        <v>3.4500000000000028</v>
      </c>
      <c r="AO106" s="28">
        <f t="shared" ref="AO106:AO118" si="50">4 * PI() * 8.854187817E-12 * (I106 * 0.0000000001)^3</f>
        <v>2.5697133507904133E-41</v>
      </c>
      <c r="AP106" s="28">
        <f t="shared" si="44"/>
        <v>2.5697133507904134E-29</v>
      </c>
      <c r="AQ106" s="28">
        <f t="shared" si="32"/>
        <v>9.3984718986259552E+16</v>
      </c>
      <c r="AR106" s="26">
        <f t="shared" si="41"/>
        <v>214.73857819176794</v>
      </c>
      <c r="AS106" s="26">
        <f t="shared" si="48"/>
        <v>3.1898000146580134</v>
      </c>
      <c r="AT106" s="26">
        <f t="shared" si="34"/>
        <v>7812.5023700107022</v>
      </c>
      <c r="AU106" s="26">
        <f t="shared" si="35"/>
        <v>9.4417744342350715E-2</v>
      </c>
      <c r="AV106" s="28">
        <f t="shared" si="36"/>
        <v>0.23095431818995354</v>
      </c>
      <c r="AW106" s="30">
        <f t="shared" si="37"/>
        <v>1319735311526.3943</v>
      </c>
      <c r="AY106">
        <v>298.14999999999998</v>
      </c>
      <c r="AZ106" s="26">
        <f t="shared" si="38"/>
        <v>0.13209057274</v>
      </c>
    </row>
    <row r="107" spans="1:52" x14ac:dyDescent="0.3">
      <c r="A107">
        <v>107</v>
      </c>
      <c r="B107" t="s">
        <v>213</v>
      </c>
      <c r="C107" t="s">
        <v>27</v>
      </c>
      <c r="D107" t="s">
        <v>243</v>
      </c>
      <c r="E107" s="23">
        <v>263</v>
      </c>
      <c r="F107">
        <f t="shared" si="39"/>
        <v>156</v>
      </c>
      <c r="G107" s="26">
        <f t="shared" si="46"/>
        <v>265.18897005999997</v>
      </c>
      <c r="H107" s="26">
        <f>(G107-(A107*'Atomic Particles'!C1))/'Atomic Particles'!C2+A107</f>
        <v>263.05792287095227</v>
      </c>
      <c r="I107" s="26">
        <f t="shared" si="21"/>
        <v>0.58797467838222317</v>
      </c>
      <c r="J107" s="26">
        <f>(('Atomic Particles'!C1)*A107)+(('Atomic Particles'!C2)*Elements!F107)</f>
        <v>265.13054523412717</v>
      </c>
      <c r="K107" s="30">
        <f>(E107^(1/3))*Constants!B102</f>
        <v>0</v>
      </c>
      <c r="L107" s="24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 s="26">
        <f t="shared" si="47"/>
        <v>103.4</v>
      </c>
      <c r="AH107" s="26">
        <f t="shared" si="49"/>
        <v>517.16587162390772</v>
      </c>
      <c r="AI107" s="26">
        <f t="shared" si="24"/>
        <v>0.85146044808010402</v>
      </c>
      <c r="AJ107" s="26">
        <f t="shared" si="42"/>
        <v>265.18900686649829</v>
      </c>
      <c r="AK107" s="28">
        <f t="shared" si="26"/>
        <v>3.6943538602048242E-10</v>
      </c>
      <c r="AL107">
        <f t="shared" si="27"/>
        <v>9.3816657068470811E-17</v>
      </c>
      <c r="AM107" s="15">
        <f t="shared" si="28"/>
        <v>0</v>
      </c>
      <c r="AN107">
        <f t="shared" si="29"/>
        <v>3.5999999999999943</v>
      </c>
      <c r="AO107" s="28">
        <f t="shared" si="50"/>
        <v>2.2616972178144663E-41</v>
      </c>
      <c r="AP107" s="28">
        <f t="shared" si="44"/>
        <v>2.2616972178144664E-29</v>
      </c>
      <c r="AQ107" s="28">
        <f t="shared" si="32"/>
        <v>1.006517457688972E+17</v>
      </c>
      <c r="AR107" s="26">
        <f t="shared" si="41"/>
        <v>205.79113743377812</v>
      </c>
      <c r="AS107" s="26">
        <f t="shared" si="48"/>
        <v>2.9785122524187759</v>
      </c>
      <c r="AT107" s="26">
        <f t="shared" si="34"/>
        <v>8506.6188376675655</v>
      </c>
      <c r="AU107" s="26">
        <f t="shared" si="35"/>
        <v>9.4058918997862048E-2</v>
      </c>
      <c r="AV107" s="28">
        <f t="shared" si="36"/>
        <v>0.20327120872520144</v>
      </c>
      <c r="AW107" s="30">
        <f t="shared" si="37"/>
        <v>1499467489647.468</v>
      </c>
      <c r="AY107">
        <v>298.14999999999998</v>
      </c>
      <c r="AZ107" s="26">
        <f t="shared" si="38"/>
        <v>0.13259448502999999</v>
      </c>
    </row>
    <row r="108" spans="1:52" x14ac:dyDescent="0.3">
      <c r="A108">
        <v>108</v>
      </c>
      <c r="B108" t="s">
        <v>214</v>
      </c>
      <c r="C108" t="s">
        <v>34</v>
      </c>
      <c r="D108" t="s">
        <v>243</v>
      </c>
      <c r="E108" s="23">
        <v>264</v>
      </c>
      <c r="F108">
        <f t="shared" si="39"/>
        <v>156</v>
      </c>
      <c r="G108" s="26">
        <f t="shared" si="46"/>
        <v>266.19679464000001</v>
      </c>
      <c r="H108" s="26">
        <f>(G108-(A108*'Atomic Particles'!C1))/'Atomic Particles'!C2+A108</f>
        <v>264.05846553484878</v>
      </c>
      <c r="I108" s="26">
        <f t="shared" si="21"/>
        <v>0.5644556912469334</v>
      </c>
      <c r="J108" s="26">
        <f>(('Atomic Particles'!C1)*A108)+(('Atomic Particles'!C2)*Elements!F108)</f>
        <v>266.13782244754918</v>
      </c>
      <c r="K108" s="30">
        <f>(E108^(1/3))*Constants!B103</f>
        <v>0</v>
      </c>
      <c r="L108" s="24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 s="26">
        <f t="shared" si="47"/>
        <v>104.25</v>
      </c>
      <c r="AH108" s="26">
        <f t="shared" si="49"/>
        <v>586.76408512591684</v>
      </c>
      <c r="AI108" s="26">
        <f t="shared" si="24"/>
        <v>0.75331771099259548</v>
      </c>
      <c r="AJ108" s="26">
        <f>(A108*1.67262192369E-27 + F108*1.67492749804E-27 + L108*9.1093837015E-31) / 1.6605390666E-27</f>
        <v>266.19683191302772</v>
      </c>
      <c r="AK108" s="28">
        <f t="shared" si="26"/>
        <v>3.5465797057966253E-10</v>
      </c>
      <c r="AL108">
        <f t="shared" si="27"/>
        <v>8.6461431154302426E-17</v>
      </c>
      <c r="AM108" s="15">
        <f t="shared" si="28"/>
        <v>0</v>
      </c>
      <c r="AN108">
        <f t="shared" si="29"/>
        <v>3.75</v>
      </c>
      <c r="AO108" s="28">
        <f t="shared" si="50"/>
        <v>2.0010049497002903E-41</v>
      </c>
      <c r="AP108" s="28">
        <f t="shared" si="44"/>
        <v>2.0010049497002904E-29</v>
      </c>
      <c r="AQ108" s="28">
        <f t="shared" si="32"/>
        <v>1.0750643271575386E+17</v>
      </c>
      <c r="AR108" s="26">
        <f t="shared" si="41"/>
        <v>197.5594919364267</v>
      </c>
      <c r="AS108" s="26">
        <f t="shared" si="48"/>
        <v>2.7886001835131937</v>
      </c>
      <c r="AT108" s="26">
        <f t="shared" si="34"/>
        <v>9230.2721762886213</v>
      </c>
      <c r="AU108" s="26">
        <f t="shared" si="35"/>
        <v>9.3702810688359381E-2</v>
      </c>
      <c r="AV108" s="28">
        <f t="shared" si="36"/>
        <v>0.179841356122699</v>
      </c>
      <c r="AW108" s="30">
        <f t="shared" si="37"/>
        <v>1694819120785.7205</v>
      </c>
      <c r="AY108">
        <v>298.14999999999998</v>
      </c>
      <c r="AZ108" s="26">
        <f t="shared" si="38"/>
        <v>0.13309839732000001</v>
      </c>
    </row>
    <row r="109" spans="1:52" x14ac:dyDescent="0.3">
      <c r="A109">
        <v>109</v>
      </c>
      <c r="B109" t="s">
        <v>215</v>
      </c>
      <c r="C109" t="s">
        <v>35</v>
      </c>
      <c r="D109" t="s">
        <v>244</v>
      </c>
      <c r="E109" s="23">
        <v>272</v>
      </c>
      <c r="F109">
        <f t="shared" si="39"/>
        <v>163</v>
      </c>
      <c r="G109" s="26">
        <f t="shared" si="46"/>
        <v>274.26527421999998</v>
      </c>
      <c r="H109" s="26">
        <f>(G109-(A109*'Atomic Particles'!C1))/'Atomic Particles'!C2+A109</f>
        <v>272.05900181950301</v>
      </c>
      <c r="I109" s="26">
        <f t="shared" si="21"/>
        <v>0.54274585696820443</v>
      </c>
      <c r="J109" s="26">
        <f>(('Atomic Particles'!C1)*A109)+(('Atomic Particles'!C2)*Elements!F109)</f>
        <v>274.20576109549552</v>
      </c>
      <c r="K109" s="30">
        <f>(E109^(1/3))*Constants!B104</f>
        <v>0</v>
      </c>
      <c r="L109" s="24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 s="26">
        <f t="shared" si="47"/>
        <v>105.1</v>
      </c>
      <c r="AH109" s="26">
        <f t="shared" si="49"/>
        <v>680.03543467636553</v>
      </c>
      <c r="AI109" s="26">
        <f t="shared" si="24"/>
        <v>0.6696967019947232</v>
      </c>
      <c r="AJ109" s="26">
        <f t="shared" ref="AJ109:AJ118" si="51">(A109*1.67262192369E-27 + F109*1.67492749804E-27 + L109*9.1093837015E-31) / 1.6605390666E-27</f>
        <v>274.26531137119133</v>
      </c>
      <c r="AK109" s="28">
        <f t="shared" si="26"/>
        <v>3.4101727940352121E-10</v>
      </c>
      <c r="AL109">
        <f t="shared" si="27"/>
        <v>7.9938453360116658E-17</v>
      </c>
      <c r="AM109" s="15">
        <f t="shared" si="28"/>
        <v>0</v>
      </c>
      <c r="AN109">
        <f t="shared" si="29"/>
        <v>3.9000000000000057</v>
      </c>
      <c r="AO109" s="28">
        <f t="shared" si="50"/>
        <v>1.7788861139660279E-41</v>
      </c>
      <c r="AP109" s="28">
        <f t="shared" si="44"/>
        <v>1.7788861139660278E-29</v>
      </c>
      <c r="AQ109" s="28">
        <f t="shared" si="32"/>
        <v>1.1454755706134165E+17</v>
      </c>
      <c r="AR109" s="26">
        <f t="shared" si="41"/>
        <v>189.96104993887155</v>
      </c>
      <c r="AS109" s="26">
        <f t="shared" si="48"/>
        <v>2.6171877051856933</v>
      </c>
      <c r="AT109" s="26">
        <f t="shared" si="34"/>
        <v>9983.4623858738014</v>
      </c>
      <c r="AU109" s="26">
        <f t="shared" si="35"/>
        <v>9.0946212293692846E-2</v>
      </c>
      <c r="AV109" s="28">
        <f t="shared" si="36"/>
        <v>0.15987831073151798</v>
      </c>
      <c r="AW109" s="30">
        <f t="shared" si="37"/>
        <v>1906441015483.5166</v>
      </c>
      <c r="AY109">
        <v>298.14999999999998</v>
      </c>
      <c r="AZ109" s="26">
        <f t="shared" si="38"/>
        <v>0.13713263710999998</v>
      </c>
    </row>
    <row r="110" spans="1:52" x14ac:dyDescent="0.3">
      <c r="A110">
        <v>110</v>
      </c>
      <c r="B110" t="s">
        <v>216</v>
      </c>
      <c r="C110" t="s">
        <v>42</v>
      </c>
      <c r="D110" t="s">
        <v>244</v>
      </c>
      <c r="E110" s="23">
        <v>270</v>
      </c>
      <c r="F110">
        <f t="shared" si="39"/>
        <v>160</v>
      </c>
      <c r="G110" s="26">
        <f t="shared" si="46"/>
        <v>272.24710379999999</v>
      </c>
      <c r="H110" s="26">
        <f>(G110-(A110*'Atomic Particles'!C1))/'Atomic Particles'!C2+A110</f>
        <v>270.05954721736043</v>
      </c>
      <c r="I110" s="26">
        <f t="shared" si="21"/>
        <v>0.52264415856197566</v>
      </c>
      <c r="J110" s="26">
        <f>(('Atomic Particles'!C1)*A110)+(('Atomic Particles'!C2)*Elements!F110)</f>
        <v>272.18704055126432</v>
      </c>
      <c r="K110" s="30">
        <f>(E110^(1/3))*Constants!B105</f>
        <v>0</v>
      </c>
      <c r="L110" s="24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 s="26">
        <f t="shared" si="47"/>
        <v>105.95</v>
      </c>
      <c r="AH110" s="26">
        <f t="shared" si="49"/>
        <v>755.95376900690303</v>
      </c>
      <c r="AI110" s="26">
        <f t="shared" si="24"/>
        <v>0.59800788671743765</v>
      </c>
      <c r="AJ110" s="26">
        <f t="shared" si="51"/>
        <v>272.24714166987758</v>
      </c>
      <c r="AK110" s="28">
        <f t="shared" si="26"/>
        <v>3.2838700979598403E-10</v>
      </c>
      <c r="AL110">
        <f t="shared" si="27"/>
        <v>7.4126741387433575E-17</v>
      </c>
      <c r="AM110" s="15">
        <f t="shared" si="28"/>
        <v>0</v>
      </c>
      <c r="AN110">
        <f>A110-AG110</f>
        <v>4.0499999999999972</v>
      </c>
      <c r="AO110" s="28">
        <f t="shared" si="50"/>
        <v>1.5884622435130361E-41</v>
      </c>
      <c r="AP110" s="28">
        <f t="shared" si="44"/>
        <v>1.588462243513036E-29</v>
      </c>
      <c r="AQ110" s="28">
        <f t="shared" si="32"/>
        <v>1.2177399369689093E+17</v>
      </c>
      <c r="AR110" s="26">
        <f t="shared" si="41"/>
        <v>182.92545549669148</v>
      </c>
      <c r="AS110" s="26">
        <f t="shared" si="48"/>
        <v>2.4618758808733574</v>
      </c>
      <c r="AT110" s="26">
        <f t="shared" si="34"/>
        <v>10766.189466423035</v>
      </c>
      <c r="AU110" s="26">
        <f t="shared" si="35"/>
        <v>9.1620397447181229E-2</v>
      </c>
      <c r="AV110" s="28">
        <f t="shared" si="36"/>
        <v>0.14276386675898881</v>
      </c>
      <c r="AW110" s="30">
        <f t="shared" si="37"/>
        <v>2134983984283.2173</v>
      </c>
      <c r="AY110">
        <v>298.14999999999998</v>
      </c>
      <c r="AZ110" s="26">
        <f t="shared" si="38"/>
        <v>0.13612355189999997</v>
      </c>
    </row>
    <row r="111" spans="1:52" x14ac:dyDescent="0.3">
      <c r="A111">
        <v>111</v>
      </c>
      <c r="B111" t="s">
        <v>217</v>
      </c>
      <c r="C111" t="s">
        <v>43</v>
      </c>
      <c r="D111" t="s">
        <v>244</v>
      </c>
      <c r="E111" s="23">
        <v>278</v>
      </c>
      <c r="F111">
        <f t="shared" si="39"/>
        <v>167</v>
      </c>
      <c r="G111" s="26">
        <f t="shared" si="46"/>
        <v>280.31558337999996</v>
      </c>
      <c r="H111" s="26">
        <f>(G111-(A111*'Atomic Particles'!C1))/'Atomic Particles'!C2+A111</f>
        <v>278.06008350201461</v>
      </c>
      <c r="I111" s="26">
        <f t="shared" si="21"/>
        <v>0.50397829575619013</v>
      </c>
      <c r="J111" s="26">
        <f>(('Atomic Particles'!C1)*A111)+(('Atomic Particles'!C2)*Elements!F111)</f>
        <v>280.2549791992106</v>
      </c>
      <c r="K111" s="30">
        <f>(E111^(1/3))*Constants!B106</f>
        <v>0</v>
      </c>
      <c r="L111" s="24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 s="26">
        <f t="shared" si="47"/>
        <v>106.8</v>
      </c>
      <c r="AH111" s="26">
        <f t="shared" si="49"/>
        <v>868.08451980102359</v>
      </c>
      <c r="AI111" s="26">
        <f t="shared" si="24"/>
        <v>0.53619666701253987</v>
      </c>
      <c r="AJ111" s="26">
        <f t="shared" si="51"/>
        <v>280.31562112804113</v>
      </c>
      <c r="AK111" s="28">
        <f t="shared" si="26"/>
        <v>3.1665890230326987E-10</v>
      </c>
      <c r="AL111">
        <f t="shared" si="27"/>
        <v>6.8926523560508846E-17</v>
      </c>
      <c r="AM111" s="15">
        <f t="shared" si="28"/>
        <v>0</v>
      </c>
      <c r="AN111">
        <f t="shared" ref="AN111:AN118" si="52">A111-AG111</f>
        <v>4.2000000000000028</v>
      </c>
      <c r="AO111" s="28">
        <f t="shared" si="50"/>
        <v>1.4242757989735316E-41</v>
      </c>
      <c r="AP111" s="28">
        <f t="shared" si="44"/>
        <v>1.4242757989735315E-29</v>
      </c>
      <c r="AQ111" s="28">
        <f t="shared" si="32"/>
        <v>1.2918470474944427E+17</v>
      </c>
      <c r="AR111" s="26">
        <f t="shared" si="41"/>
        <v>176.39240351466654</v>
      </c>
      <c r="AS111" s="26">
        <f t="shared" si="48"/>
        <v>2.3206497904024483</v>
      </c>
      <c r="AT111" s="26">
        <f t="shared" si="34"/>
        <v>11578.453417936464</v>
      </c>
      <c r="AU111" s="26">
        <f t="shared" si="35"/>
        <v>8.898323651235035E-2</v>
      </c>
      <c r="AV111" s="28">
        <f t="shared" si="36"/>
        <v>0.1280075250281143</v>
      </c>
      <c r="AW111" s="30">
        <f t="shared" si="37"/>
        <v>2381098837727.2461</v>
      </c>
      <c r="AY111">
        <v>298.14999999999998</v>
      </c>
      <c r="AZ111" s="26">
        <f t="shared" si="38"/>
        <v>0.14015779168999998</v>
      </c>
    </row>
    <row r="112" spans="1:52" x14ac:dyDescent="0.3">
      <c r="A112">
        <v>112</v>
      </c>
      <c r="B112" t="s">
        <v>218</v>
      </c>
      <c r="C112" t="s">
        <v>50</v>
      </c>
      <c r="D112" t="s">
        <v>244</v>
      </c>
      <c r="E112" s="23">
        <v>279</v>
      </c>
      <c r="F112">
        <f t="shared" si="39"/>
        <v>167</v>
      </c>
      <c r="G112" s="26">
        <f t="shared" si="46"/>
        <v>281.32340796</v>
      </c>
      <c r="H112" s="26">
        <f>(G112-(A112*'Atomic Particles'!C1))/'Atomic Particles'!C2+A112</f>
        <v>279.06062616591112</v>
      </c>
      <c r="I112" s="26">
        <f t="shared" si="21"/>
        <v>0.48659973383356386</v>
      </c>
      <c r="J112" s="26">
        <f>(('Atomic Particles'!C1)*A112)+(('Atomic Particles'!C2)*Elements!F112)</f>
        <v>281.26225641263261</v>
      </c>
      <c r="K112" s="30">
        <f>(E112^(1/3))*Constants!B107</f>
        <v>0</v>
      </c>
      <c r="L112" s="24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 s="26">
        <f t="shared" si="47"/>
        <v>107.65</v>
      </c>
      <c r="AH112" s="26">
        <f t="shared" si="49"/>
        <v>967.92239726796925</v>
      </c>
      <c r="AI112" s="26">
        <f t="shared" si="24"/>
        <v>0.48261877216201354</v>
      </c>
      <c r="AJ112" s="26">
        <f t="shared" si="51"/>
        <v>281.32344617457062</v>
      </c>
      <c r="AK112" s="28">
        <f t="shared" si="26"/>
        <v>3.0573962981005429E-10</v>
      </c>
      <c r="AL112">
        <f t="shared" si="27"/>
        <v>6.4254928027870573E-17</v>
      </c>
      <c r="AM112" s="15">
        <f t="shared" si="28"/>
        <v>0</v>
      </c>
      <c r="AN112">
        <f t="shared" si="52"/>
        <v>4.3499999999999943</v>
      </c>
      <c r="AO112" s="28">
        <f t="shared" si="50"/>
        <v>1.2819591758197202E-41</v>
      </c>
      <c r="AP112" s="28">
        <f t="shared" si="44"/>
        <v>1.2819591758197202E-29</v>
      </c>
      <c r="AQ112" s="28">
        <f t="shared" si="32"/>
        <v>1.367787305625605E+17</v>
      </c>
      <c r="AR112" s="26">
        <f t="shared" si="41"/>
        <v>170.30990684174736</v>
      </c>
      <c r="AS112" s="26">
        <f t="shared" si="48"/>
        <v>2.191806114642068</v>
      </c>
      <c r="AT112" s="26">
        <f t="shared" si="34"/>
        <v>12420.254240413935</v>
      </c>
      <c r="AU112" s="26">
        <f t="shared" si="35"/>
        <v>8.8664459295710582E-2</v>
      </c>
      <c r="AV112" s="28">
        <f t="shared" si="36"/>
        <v>0.11521674482009031</v>
      </c>
      <c r="AW112" s="30">
        <f t="shared" si="37"/>
        <v>2645436386357.938</v>
      </c>
      <c r="AY112">
        <v>298.14999999999998</v>
      </c>
      <c r="AZ112" s="26">
        <f t="shared" si="38"/>
        <v>0.14066170398</v>
      </c>
    </row>
    <row r="113" spans="1:52" x14ac:dyDescent="0.3">
      <c r="A113">
        <v>113</v>
      </c>
      <c r="B113" t="s">
        <v>219</v>
      </c>
      <c r="C113" t="s">
        <v>55</v>
      </c>
      <c r="D113" t="s">
        <v>245</v>
      </c>
      <c r="E113" s="23">
        <v>282</v>
      </c>
      <c r="F113">
        <f t="shared" si="39"/>
        <v>169</v>
      </c>
      <c r="G113" s="26">
        <f t="shared" si="46"/>
        <v>284.34856253999999</v>
      </c>
      <c r="H113" s="26">
        <f>(G113-(A113*'Atomic Particles'!C1))/'Atomic Particles'!C2+A113</f>
        <v>282.06116700716694</v>
      </c>
      <c r="I113" s="26">
        <f t="shared" si="21"/>
        <v>0.42334176843520005</v>
      </c>
      <c r="J113" s="26">
        <f>(('Atomic Particles'!C1)*A113)+(('Atomic Particles'!C2)*Elements!F113)</f>
        <v>284.28686546449012</v>
      </c>
      <c r="K113" s="30">
        <f>(E113^(1/3))*Constants!B108</f>
        <v>0</v>
      </c>
      <c r="L113" s="24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 s="26">
        <f t="shared" si="47"/>
        <v>108</v>
      </c>
      <c r="AH113" s="26">
        <f t="shared" si="49"/>
        <v>1485.6891399549756</v>
      </c>
      <c r="AI113" s="26">
        <f t="shared" si="24"/>
        <v>0.31780590932500125</v>
      </c>
      <c r="AJ113" s="26">
        <f t="shared" si="51"/>
        <v>284.34860105299555</v>
      </c>
      <c r="AK113" s="28">
        <f t="shared" si="26"/>
        <v>2.6599347793474691E-10</v>
      </c>
      <c r="AL113">
        <f t="shared" si="27"/>
        <v>4.8634555024295111E-17</v>
      </c>
      <c r="AM113" s="15">
        <f t="shared" si="28"/>
        <v>0</v>
      </c>
      <c r="AN113">
        <f t="shared" si="52"/>
        <v>5</v>
      </c>
      <c r="AO113" s="28">
        <f t="shared" si="50"/>
        <v>8.4417396315480997E-42</v>
      </c>
      <c r="AP113" s="28">
        <f t="shared" si="44"/>
        <v>8.4417396315481003E-30</v>
      </c>
      <c r="AQ113" s="28">
        <f t="shared" si="32"/>
        <v>1.6930504527043114E+17</v>
      </c>
      <c r="AR113" s="26">
        <f t="shared" si="41"/>
        <v>148.16961895232001</v>
      </c>
      <c r="AS113" s="26">
        <f t="shared" si="48"/>
        <v>1.7707237106912035</v>
      </c>
      <c r="AT113" s="26">
        <f t="shared" si="34"/>
        <v>16409.372757846435</v>
      </c>
      <c r="AU113" s="26">
        <f t="shared" si="35"/>
        <v>8.7721167398168765E-2</v>
      </c>
      <c r="AV113" s="28">
        <f t="shared" si="36"/>
        <v>7.5870572114263637E-2</v>
      </c>
      <c r="AW113" s="30">
        <f t="shared" si="37"/>
        <v>4017349027047.6338</v>
      </c>
      <c r="AY113">
        <v>298.14999999999998</v>
      </c>
      <c r="AZ113" s="26">
        <f t="shared" si="38"/>
        <v>0.14217428127000001</v>
      </c>
    </row>
    <row r="114" spans="1:52" x14ac:dyDescent="0.3">
      <c r="A114">
        <v>114</v>
      </c>
      <c r="B114" t="s">
        <v>220</v>
      </c>
      <c r="C114" t="s">
        <v>56</v>
      </c>
      <c r="D114" t="s">
        <v>239</v>
      </c>
      <c r="E114" s="23">
        <v>285</v>
      </c>
      <c r="F114">
        <f t="shared" si="39"/>
        <v>171</v>
      </c>
      <c r="G114" s="26">
        <f t="shared" si="46"/>
        <v>287.37371711999998</v>
      </c>
      <c r="H114" s="26">
        <f>(G114-(A114*'Atomic Particles'!C1))/'Atomic Particles'!C2+A114</f>
        <v>285.06170784842277</v>
      </c>
      <c r="I114" s="26">
        <f t="shared" si="21"/>
        <v>0.37463873312849522</v>
      </c>
      <c r="J114" s="26">
        <f>(('Atomic Particles'!C1)*A114)+(('Atomic Particles'!C2)*Elements!F114)</f>
        <v>287.31147451634769</v>
      </c>
      <c r="K114" s="30">
        <f>(E114^(1/3))*Constants!B109</f>
        <v>0</v>
      </c>
      <c r="L114" s="24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 s="26">
        <f t="shared" si="47"/>
        <v>108.35</v>
      </c>
      <c r="AH114" s="26">
        <f t="shared" si="49"/>
        <v>2166.5029645178629</v>
      </c>
      <c r="AI114" s="26">
        <f t="shared" si="24"/>
        <v>0.22025543703050202</v>
      </c>
      <c r="AJ114" s="26">
        <f t="shared" si="51"/>
        <v>287.37375593142048</v>
      </c>
      <c r="AK114" s="28">
        <f t="shared" si="26"/>
        <v>2.3539245834933332E-10</v>
      </c>
      <c r="AL114">
        <f t="shared" si="27"/>
        <v>3.8087990464637019E-17</v>
      </c>
      <c r="AM114" s="15">
        <f t="shared" si="28"/>
        <v>0</v>
      </c>
      <c r="AN114">
        <f t="shared" si="52"/>
        <v>5.6500000000000057</v>
      </c>
      <c r="AO114" s="28">
        <f t="shared" si="50"/>
        <v>5.850549021550446E-42</v>
      </c>
      <c r="AP114" s="28">
        <f t="shared" si="44"/>
        <v>5.8505490215504459E-30</v>
      </c>
      <c r="AQ114" s="28">
        <f t="shared" si="32"/>
        <v>2.0426820350021923E+17</v>
      </c>
      <c r="AR114" s="26">
        <f t="shared" si="41"/>
        <v>131.12355659497334</v>
      </c>
      <c r="AS114" s="26">
        <f t="shared" si="48"/>
        <v>1.4676413306766967</v>
      </c>
      <c r="AT114" s="26">
        <f t="shared" si="34"/>
        <v>20953.128074494158</v>
      </c>
      <c r="AU114" s="26">
        <f t="shared" si="35"/>
        <v>8.6797735380874361E-2</v>
      </c>
      <c r="AV114" s="28">
        <f t="shared" si="36"/>
        <v>5.2582112315891848E-2</v>
      </c>
      <c r="AW114" s="30">
        <f t="shared" si="37"/>
        <v>5796620859079.9678</v>
      </c>
      <c r="AY114">
        <v>298.14999999999998</v>
      </c>
      <c r="AZ114" s="26">
        <f t="shared" si="38"/>
        <v>0.14368685855999999</v>
      </c>
    </row>
    <row r="115" spans="1:52" x14ac:dyDescent="0.3">
      <c r="A115">
        <v>115</v>
      </c>
      <c r="B115" t="s">
        <v>221</v>
      </c>
      <c r="C115" t="s">
        <v>67</v>
      </c>
      <c r="D115" t="s">
        <v>245</v>
      </c>
      <c r="E115" s="23">
        <v>290</v>
      </c>
      <c r="F115">
        <f t="shared" si="39"/>
        <v>175</v>
      </c>
      <c r="G115" s="26">
        <f t="shared" si="46"/>
        <v>292.41620169999999</v>
      </c>
      <c r="H115" s="26">
        <f>(G115-(A115*'Atomic Particles'!C1))/'Atomic Particles'!C2+A115</f>
        <v>290.06224686703797</v>
      </c>
      <c r="I115" s="26">
        <f t="shared" si="21"/>
        <v>0.33598553050412716</v>
      </c>
      <c r="J115" s="26">
        <f>(('Atomic Particles'!C1)*A115)+(('Atomic Particles'!C2)*Elements!F115)</f>
        <v>292.35341540664075</v>
      </c>
      <c r="K115" s="30">
        <f>(E115^(1/3))*Constants!B110</f>
        <v>0</v>
      </c>
      <c r="L115" s="24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 s="26">
        <f t="shared" si="47"/>
        <v>108.7</v>
      </c>
      <c r="AH115" s="26">
        <f t="shared" si="49"/>
        <v>3056.2577561234402</v>
      </c>
      <c r="AI115" s="26">
        <f t="shared" si="24"/>
        <v>0.15887308652223464</v>
      </c>
      <c r="AJ115" s="26">
        <f t="shared" si="51"/>
        <v>292.41624064174084</v>
      </c>
      <c r="AK115" s="28">
        <f t="shared" si="26"/>
        <v>2.1110593486884686E-10</v>
      </c>
      <c r="AL115">
        <f t="shared" si="27"/>
        <v>3.0634010471337344E-17</v>
      </c>
      <c r="AM115" s="15">
        <f t="shared" si="28"/>
        <v>0</v>
      </c>
      <c r="AN115">
        <f t="shared" si="52"/>
        <v>6.2999999999999972</v>
      </c>
      <c r="AO115" s="28">
        <f t="shared" si="50"/>
        <v>4.2200764414030727E-42</v>
      </c>
      <c r="AP115" s="28">
        <f t="shared" si="44"/>
        <v>4.2200764414030724E-30</v>
      </c>
      <c r="AQ115" s="28">
        <f t="shared" si="32"/>
        <v>2.4156578212093603E+17</v>
      </c>
      <c r="AR115" s="26">
        <f t="shared" si="41"/>
        <v>117.59493567644451</v>
      </c>
      <c r="AS115" s="26">
        <f t="shared" si="48"/>
        <v>1.2410385915084352</v>
      </c>
      <c r="AT115" s="26">
        <f t="shared" si="34"/>
        <v>26051.52019035698</v>
      </c>
      <c r="AU115" s="26">
        <f t="shared" si="35"/>
        <v>8.5300977541560075E-2</v>
      </c>
      <c r="AV115" s="28">
        <f t="shared" si="36"/>
        <v>3.7928155563885867E-2</v>
      </c>
      <c r="AW115" s="30">
        <f t="shared" si="37"/>
        <v>8036208577329.4268</v>
      </c>
      <c r="AY115">
        <v>298.14999999999998</v>
      </c>
      <c r="AZ115" s="26">
        <f t="shared" si="38"/>
        <v>0.14620810084999999</v>
      </c>
    </row>
    <row r="116" spans="1:52" x14ac:dyDescent="0.3">
      <c r="A116">
        <v>116</v>
      </c>
      <c r="B116" t="s">
        <v>222</v>
      </c>
      <c r="C116" t="s">
        <v>68</v>
      </c>
      <c r="D116" t="s">
        <v>245</v>
      </c>
      <c r="E116" s="23">
        <v>291</v>
      </c>
      <c r="F116">
        <f t="shared" si="39"/>
        <v>175</v>
      </c>
      <c r="G116" s="26">
        <f t="shared" si="46"/>
        <v>293.42402628000002</v>
      </c>
      <c r="H116" s="26">
        <f>(G116-(A116*'Atomic Particles'!C1))/'Atomic Particles'!C2+A116</f>
        <v>291.06278953093442</v>
      </c>
      <c r="I116" s="26">
        <f t="shared" si="21"/>
        <v>0.30456242333467615</v>
      </c>
      <c r="J116" s="26">
        <f>(('Atomic Particles'!C1)*A116)+(('Atomic Particles'!C2)*Elements!F116)</f>
        <v>293.36069262006276</v>
      </c>
      <c r="K116" s="30">
        <f>(E116^(1/3))*Constants!B111</f>
        <v>0</v>
      </c>
      <c r="L116" s="24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 s="26">
        <f t="shared" si="47"/>
        <v>109.05</v>
      </c>
      <c r="AH116" s="26">
        <f t="shared" si="49"/>
        <v>4117.3423987167889</v>
      </c>
      <c r="AI116" s="26">
        <f t="shared" si="24"/>
        <v>0.11833618593143733</v>
      </c>
      <c r="AJ116" s="26">
        <f t="shared" si="51"/>
        <v>293.42406568827028</v>
      </c>
      <c r="AK116" s="28">
        <f t="shared" si="26"/>
        <v>1.9136221434154445E-10</v>
      </c>
      <c r="AL116">
        <f t="shared" si="27"/>
        <v>2.5171862235026689E-17</v>
      </c>
      <c r="AM116" s="15">
        <f t="shared" si="28"/>
        <v>0</v>
      </c>
      <c r="AN116">
        <f t="shared" si="52"/>
        <v>6.9500000000000028</v>
      </c>
      <c r="AO116" s="28">
        <f t="shared" si="50"/>
        <v>3.1433124473531378E-42</v>
      </c>
      <c r="AP116" s="28">
        <f t="shared" si="44"/>
        <v>3.1433124473531379E-30</v>
      </c>
      <c r="AQ116" s="28">
        <f t="shared" si="32"/>
        <v>2.8111361075970477E+17</v>
      </c>
      <c r="AR116" s="26">
        <f t="shared" si="41"/>
        <v>106.59684816713666</v>
      </c>
      <c r="AS116" s="26">
        <f t="shared" si="48"/>
        <v>1.0664459013201673</v>
      </c>
      <c r="AT116" s="26">
        <f t="shared" si="34"/>
        <v>31704.54910543513</v>
      </c>
      <c r="AU116" s="26">
        <f t="shared" si="35"/>
        <v>8.5007993960923164E-2</v>
      </c>
      <c r="AV116" s="28">
        <f t="shared" si="36"/>
        <v>2.8250683404557206E-2</v>
      </c>
      <c r="AW116" s="30">
        <f t="shared" si="37"/>
        <v>10789068876670.654</v>
      </c>
      <c r="AY116">
        <v>298.14999999999998</v>
      </c>
      <c r="AZ116" s="26">
        <f t="shared" si="38"/>
        <v>0.14671201314000001</v>
      </c>
    </row>
    <row r="117" spans="1:52" x14ac:dyDescent="0.3">
      <c r="A117">
        <v>117</v>
      </c>
      <c r="B117" t="s">
        <v>223</v>
      </c>
      <c r="C117" t="s">
        <v>74</v>
      </c>
      <c r="D117" t="s">
        <v>246</v>
      </c>
      <c r="E117" s="23">
        <v>293</v>
      </c>
      <c r="F117">
        <f t="shared" si="39"/>
        <v>176</v>
      </c>
      <c r="G117" s="26">
        <f t="shared" si="46"/>
        <v>295.44051586</v>
      </c>
      <c r="H117" s="26">
        <f>(G117-(A117*'Atomic Particles'!C1))/'Atomic Particles'!C2+A117</f>
        <v>293.06333128351059</v>
      </c>
      <c r="I117" s="26">
        <f t="shared" si="21"/>
        <v>0.2785143213389476</v>
      </c>
      <c r="J117" s="26">
        <f>(('Atomic Particles'!C1)*A117)+(('Atomic Particles'!C2)*Elements!F117)</f>
        <v>295.37663575270255</v>
      </c>
      <c r="K117" s="30">
        <f>(E117^(1/3))*Constants!B112</f>
        <v>0</v>
      </c>
      <c r="L117" s="24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 s="26">
        <f t="shared" si="47"/>
        <v>109.4</v>
      </c>
      <c r="AH117" s="26">
        <f t="shared" si="49"/>
        <v>5420.9790442979101</v>
      </c>
      <c r="AI117" s="26">
        <f t="shared" si="24"/>
        <v>9.0496379450414693E-2</v>
      </c>
      <c r="AJ117" s="26">
        <f t="shared" si="51"/>
        <v>295.44055565074746</v>
      </c>
      <c r="AK117" s="28">
        <f t="shared" si="26"/>
        <v>1.7499570916759678E-10</v>
      </c>
      <c r="AL117">
        <f t="shared" si="27"/>
        <v>2.1050274854698404E-17</v>
      </c>
      <c r="AM117" s="15">
        <f t="shared" si="28"/>
        <v>0</v>
      </c>
      <c r="AN117">
        <f t="shared" si="52"/>
        <v>7.5999999999999943</v>
      </c>
      <c r="AO117" s="28">
        <f t="shared" si="50"/>
        <v>2.4038158212374136E-42</v>
      </c>
      <c r="AP117" s="28">
        <f t="shared" si="44"/>
        <v>2.4038158212374135E-30</v>
      </c>
      <c r="AQ117" s="28">
        <f t="shared" si="32"/>
        <v>3.2284122851807136E+17</v>
      </c>
      <c r="AR117" s="26">
        <f t="shared" si="41"/>
        <v>97.480012468631656</v>
      </c>
      <c r="AS117" s="26">
        <f t="shared" si="48"/>
        <v>0.92860648367660026</v>
      </c>
      <c r="AT117" s="26">
        <f t="shared" si="34"/>
        <v>37912.214819728346</v>
      </c>
      <c r="AU117" s="26">
        <f t="shared" si="35"/>
        <v>8.4427783309923177E-2</v>
      </c>
      <c r="AV117" s="28">
        <f t="shared" si="36"/>
        <v>2.1604419180736478E-2</v>
      </c>
      <c r="AW117" s="30">
        <f t="shared" si="37"/>
        <v>14108158451978.064</v>
      </c>
      <c r="AY117">
        <v>298.14999999999998</v>
      </c>
      <c r="AZ117" s="26">
        <f t="shared" si="38"/>
        <v>0.14772025793000002</v>
      </c>
    </row>
    <row r="118" spans="1:52" x14ac:dyDescent="0.3">
      <c r="A118">
        <v>118</v>
      </c>
      <c r="B118" t="s">
        <v>224</v>
      </c>
      <c r="C118" t="s">
        <v>75</v>
      </c>
      <c r="D118" t="s">
        <v>247</v>
      </c>
      <c r="E118" s="23">
        <v>294</v>
      </c>
      <c r="F118">
        <f t="shared" si="39"/>
        <v>176</v>
      </c>
      <c r="G118" s="26">
        <f t="shared" si="46"/>
        <v>296.44834043999998</v>
      </c>
      <c r="H118" s="26">
        <f>(G118-(A118*'Atomic Particles'!C1))/'Atomic Particles'!C2+A118</f>
        <v>294.06387394740705</v>
      </c>
      <c r="I118" s="26">
        <f t="shared" si="21"/>
        <v>0.25657076874860607</v>
      </c>
      <c r="J118" s="26">
        <f>(('Atomic Particles'!C1)*A118)+(('Atomic Particles'!C2)*Elements!F118)</f>
        <v>296.38391296612463</v>
      </c>
      <c r="K118" s="30">
        <f>(E118^(1/3))*Constants!B113</f>
        <v>0</v>
      </c>
      <c r="L118" s="24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 s="26">
        <f t="shared" si="47"/>
        <v>109.75</v>
      </c>
      <c r="AH118" s="26">
        <f t="shared" si="49"/>
        <v>6957.8933518058811</v>
      </c>
      <c r="AI118" s="26">
        <f t="shared" si="24"/>
        <v>7.0747343256254258E-2</v>
      </c>
      <c r="AJ118" s="26">
        <f t="shared" si="51"/>
        <v>296.44838069727695</v>
      </c>
      <c r="AK118" s="28">
        <f t="shared" si="26"/>
        <v>1.6120816844530116E-10</v>
      </c>
      <c r="AL118">
        <f t="shared" si="27"/>
        <v>1.7863932056674053E-17</v>
      </c>
      <c r="AM118" s="15">
        <f t="shared" si="28"/>
        <v>0</v>
      </c>
      <c r="AN118">
        <f t="shared" si="52"/>
        <v>8.25</v>
      </c>
      <c r="AO118" s="28">
        <f t="shared" si="50"/>
        <v>1.8792307942339315E-42</v>
      </c>
      <c r="AP118" s="28">
        <f t="shared" si="44"/>
        <v>1.8792307942339314E-30</v>
      </c>
      <c r="AQ118" s="28">
        <f t="shared" si="32"/>
        <v>3.6668876049953683E+17</v>
      </c>
      <c r="AR118" s="26">
        <f t="shared" si="41"/>
        <v>89.799769062012132</v>
      </c>
      <c r="AS118" s="26">
        <f t="shared" si="48"/>
        <v>0.8175665313318996</v>
      </c>
      <c r="AT118" s="26">
        <f t="shared" si="34"/>
        <v>44674.517333236923</v>
      </c>
      <c r="AU118" s="26">
        <f t="shared" si="35"/>
        <v>8.4140757263063332E-2</v>
      </c>
      <c r="AV118" s="28">
        <f t="shared" si="36"/>
        <v>1.6889684083649416E-2</v>
      </c>
      <c r="AW118" s="30">
        <f t="shared" si="37"/>
        <v>18046433998126.355</v>
      </c>
      <c r="AY118">
        <v>298.14999999999998</v>
      </c>
      <c r="AZ118" s="26">
        <f t="shared" si="38"/>
        <v>0.14822417021999998</v>
      </c>
    </row>
    <row r="119" spans="1:52" x14ac:dyDescent="0.3">
      <c r="AM119" s="15"/>
    </row>
    <row r="120" spans="1:52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27" t="s">
        <v>508</v>
      </c>
      <c r="H120" s="27" t="s">
        <v>341</v>
      </c>
      <c r="I120" s="27" t="s">
        <v>522</v>
      </c>
      <c r="J120" s="27" t="s">
        <v>516</v>
      </c>
      <c r="K120" s="31" t="s">
        <v>515</v>
      </c>
      <c r="L120" s="21" t="s">
        <v>469</v>
      </c>
      <c r="M120" s="22" t="s">
        <v>473</v>
      </c>
      <c r="N120" s="19" t="s">
        <v>474</v>
      </c>
      <c r="O120" s="19" t="s">
        <v>470</v>
      </c>
      <c r="P120" s="19" t="s">
        <v>471</v>
      </c>
      <c r="Q120" s="19" t="s">
        <v>472</v>
      </c>
      <c r="R120" s="19" t="s">
        <v>479</v>
      </c>
      <c r="S120" s="19" t="s">
        <v>475</v>
      </c>
      <c r="T120" s="19" t="s">
        <v>484</v>
      </c>
      <c r="U120" s="19" t="s">
        <v>480</v>
      </c>
      <c r="V120" s="19" t="s">
        <v>487</v>
      </c>
      <c r="W120" s="19" t="s">
        <v>476</v>
      </c>
      <c r="X120" s="19" t="s">
        <v>485</v>
      </c>
      <c r="Y120" s="19" t="s">
        <v>481</v>
      </c>
      <c r="Z120" s="19" t="s">
        <v>488</v>
      </c>
      <c r="AA120" s="19" t="s">
        <v>477</v>
      </c>
      <c r="AB120" s="19" t="s">
        <v>486</v>
      </c>
      <c r="AC120" s="19" t="s">
        <v>482</v>
      </c>
      <c r="AD120" s="19" t="s">
        <v>478</v>
      </c>
      <c r="AE120" s="19" t="s">
        <v>490</v>
      </c>
      <c r="AF120" s="19" t="s">
        <v>491</v>
      </c>
      <c r="AG120" s="27" t="s">
        <v>505</v>
      </c>
      <c r="AH120" s="27" t="s">
        <v>509</v>
      </c>
      <c r="AI120" s="27" t="s">
        <v>520</v>
      </c>
      <c r="AJ120" s="27" t="s">
        <v>514</v>
      </c>
      <c r="AK120" s="29" t="s">
        <v>517</v>
      </c>
      <c r="AL120" s="19" t="s">
        <v>518</v>
      </c>
      <c r="AM120" s="19" t="s">
        <v>493</v>
      </c>
      <c r="AN120" s="19" t="s">
        <v>492</v>
      </c>
      <c r="AO120" s="29" t="s">
        <v>519</v>
      </c>
      <c r="AP120" s="29" t="s">
        <v>513</v>
      </c>
      <c r="AQ120" s="29" t="s">
        <v>512</v>
      </c>
      <c r="AR120" s="27" t="s">
        <v>506</v>
      </c>
      <c r="AS120" s="27" t="s">
        <v>507</v>
      </c>
      <c r="AT120" s="19" t="s">
        <v>510</v>
      </c>
      <c r="AU120" s="19" t="s">
        <v>511</v>
      </c>
      <c r="AV120" s="19" t="s">
        <v>521</v>
      </c>
      <c r="AW120" s="31" t="s">
        <v>523</v>
      </c>
      <c r="AY120" s="19" t="s">
        <v>524</v>
      </c>
      <c r="AZ120" s="19" t="s">
        <v>526</v>
      </c>
    </row>
    <row r="122" spans="1:52" x14ac:dyDescent="0.3">
      <c r="B122" t="s">
        <v>473</v>
      </c>
      <c r="D122" t="s">
        <v>483</v>
      </c>
    </row>
    <row r="123" spans="1:52" x14ac:dyDescent="0.3">
      <c r="B123" t="s">
        <v>474</v>
      </c>
      <c r="D123" t="s">
        <v>470</v>
      </c>
    </row>
    <row r="124" spans="1:52" x14ac:dyDescent="0.3">
      <c r="B124" t="s">
        <v>471</v>
      </c>
      <c r="D124" t="s">
        <v>472</v>
      </c>
    </row>
    <row r="125" spans="1:52" x14ac:dyDescent="0.3">
      <c r="B125" t="s">
        <v>475</v>
      </c>
      <c r="C125" t="s">
        <v>479</v>
      </c>
      <c r="D125" t="s">
        <v>484</v>
      </c>
    </row>
    <row r="126" spans="1:52" x14ac:dyDescent="0.3">
      <c r="B126" t="s">
        <v>476</v>
      </c>
      <c r="C126" t="s">
        <v>480</v>
      </c>
      <c r="D126" t="s">
        <v>485</v>
      </c>
    </row>
    <row r="127" spans="1:52" x14ac:dyDescent="0.3">
      <c r="B127" t="s">
        <v>477</v>
      </c>
      <c r="C127" t="s">
        <v>481</v>
      </c>
      <c r="D127" t="s">
        <v>486</v>
      </c>
    </row>
    <row r="128" spans="1:52" x14ac:dyDescent="0.3">
      <c r="B128" t="s">
        <v>478</v>
      </c>
      <c r="C128" t="s">
        <v>482</v>
      </c>
    </row>
    <row r="129" spans="3:3" x14ac:dyDescent="0.3">
      <c r="C129" t="s">
        <v>487</v>
      </c>
    </row>
    <row r="130" spans="3:3" x14ac:dyDescent="0.3">
      <c r="C130" t="s">
        <v>488</v>
      </c>
    </row>
  </sheetData>
  <dataValidations disablePrompts="1" count="139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  <dataValidation type="list" allowBlank="1" showInputMessage="1" showErrorMessage="1" sqref="L75" xr:uid="{1849DDCB-C571-4DB9-A8DA-964760F02E61}">
      <formula1>"68, 69, 70, 71, 72, 73, 74, 75, 76, 77, 78"</formula1>
    </dataValidation>
    <dataValidation type="list" allowBlank="1" showInputMessage="1" showErrorMessage="1" sqref="L76" xr:uid="{E0E88B7C-3EC7-4FE1-B5C3-8FC659D3C32A}">
      <formula1>"68, 70, 72, 73, 74, 76, 77, 78"</formula1>
    </dataValidation>
    <dataValidation type="list" allowBlank="1" showInputMessage="1" showErrorMessage="1" sqref="L77" xr:uid="{44858EEF-C772-4AA4-94A4-F56266C02896}">
      <formula1>"68, 69, 70, 71, 72, 73, 74, 75, 76, 77, 78, 79, 80, 81"</formula1>
    </dataValidation>
    <dataValidation type="list" allowBlank="1" showInputMessage="1" showErrorMessage="1" sqref="L78" xr:uid="{6932D61B-9A9C-4D25-A6F0-24D1A5F88E93}">
      <formula1>"72, 73, 74, 75, 76, 77, 78"</formula1>
    </dataValidation>
    <dataValidation type="list" allowBlank="1" showInputMessage="1" showErrorMessage="1" sqref="L79" xr:uid="{6ED74CED-4969-42E3-A332-0DC6A631F5D7}">
      <formula1>"74, 76, 77, 78, 79, 80"</formula1>
    </dataValidation>
    <dataValidation type="list" allowBlank="1" showInputMessage="1" showErrorMessage="1" sqref="L80" xr:uid="{20811A91-3FFE-4E4E-B26B-7402D4E0639B}">
      <formula1>"78, 80"</formula1>
    </dataValidation>
    <dataValidation type="list" allowBlank="1" showInputMessage="1" showErrorMessage="1" sqref="L81" xr:uid="{B9C1A075-63EE-45A5-89DD-378280F96D35}">
      <formula1>"78, 80, 81"</formula1>
    </dataValidation>
    <dataValidation type="list" allowBlank="1" showInputMessage="1" showErrorMessage="1" sqref="L82" xr:uid="{1CDE2075-5E83-463F-99F4-051FA1805BD6}">
      <formula1>"78, 80, 82"</formula1>
    </dataValidation>
    <dataValidation type="list" allowBlank="1" showInputMessage="1" showErrorMessage="1" sqref="L83" xr:uid="{786D37F0-0135-480B-9BFC-BFB6BFF9493D}">
      <formula1>"78, 80, 81, 83, 84, 86"</formula1>
    </dataValidation>
    <dataValidation type="list" allowBlank="1" showInputMessage="1" showErrorMessage="1" sqref="L84" xr:uid="{D7BA9EB3-3C92-44EB-BC0E-2E04DF50A45B}">
      <formula1>"78, 80, 82, 84, 86"</formula1>
    </dataValidation>
    <dataValidation type="list" allowBlank="1" showInputMessage="1" showErrorMessage="1" sqref="L85" xr:uid="{2F054425-07FB-4B8B-BD29-6C3E43F2150A}">
      <formula1>"78, 80, 82, 84, 85, 86"</formula1>
    </dataValidation>
    <dataValidation type="list" allowBlank="1" showInputMessage="1" showErrorMessage="1" sqref="L86" xr:uid="{217CD150-0CC6-4BEC-BEA2-465A29597E20}">
      <formula1>"84, 85, 86"</formula1>
    </dataValidation>
    <dataValidation type="list" allowBlank="1" showInputMessage="1" showErrorMessage="1" sqref="L87" xr:uid="{71ADA6F8-5367-404E-80A9-95D5EBE1DA8F}">
      <formula1>"86, 87"</formula1>
    </dataValidation>
    <dataValidation type="list" allowBlank="1" showInputMessage="1" showErrorMessage="1" sqref="L88" xr:uid="{8EFD37CD-2479-43F9-8958-EC089A0A2560}">
      <formula1>"86, 88"</formula1>
    </dataValidation>
    <dataValidation type="list" allowBlank="1" showInputMessage="1" showErrorMessage="1" sqref="L89" xr:uid="{AC5EFCDF-C773-408E-B67A-25E6E1FFF843}">
      <formula1>"86, 89"</formula1>
    </dataValidation>
    <dataValidation type="list" allowBlank="1" showInputMessage="1" showErrorMessage="1" sqref="L90" xr:uid="{8937262C-9332-48E3-B532-23359F6461B8}">
      <formula1>"86, 87, 88, 89, 90"</formula1>
    </dataValidation>
    <dataValidation type="list" allowBlank="1" showInputMessage="1" showErrorMessage="1" sqref="L91" xr:uid="{12A71D1B-67E2-44E2-A068-15065617FFCF}">
      <formula1>"56, 91"</formula1>
    </dataValidation>
    <dataValidation type="list" allowBlank="1" showInputMessage="1" showErrorMessage="1" sqref="L92" xr:uid="{FFA0F942-EC45-49E9-8C3F-4DB9CE0F76FF}">
      <formula1>"86, 87, 88, 89, 92"</formula1>
    </dataValidation>
    <dataValidation type="list" allowBlank="1" showInputMessage="1" showErrorMessage="1" sqref="L93" xr:uid="{D5FB5088-5AFD-412E-B7AA-D2B9B0A273D5}">
      <formula1>"89, 90, 93"</formula1>
    </dataValidation>
    <dataValidation type="list" allowBlank="1" showInputMessage="1" showErrorMessage="1" sqref="L94" xr:uid="{24670390-8FA5-4DCD-8B43-ED3FB6E9BA0B}">
      <formula1>"90, 91, 94"</formula1>
    </dataValidation>
    <dataValidation type="list" allowBlank="1" showInputMessage="1" showErrorMessage="1" sqref="L95" xr:uid="{2233841F-4E26-4D92-88AD-EC5EDDEF6356}">
      <formula1>"89, 90, 91, 92, 93, 95"</formula1>
    </dataValidation>
    <dataValidation type="list" allowBlank="1" showInputMessage="1" showErrorMessage="1" sqref="L96" xr:uid="{CB2C0D10-FA3C-43D4-9D84-F45327E79108}">
      <formula1>"92, 93, 96"</formula1>
    </dataValidation>
    <dataValidation type="list" allowBlank="1" showInputMessage="1" showErrorMessage="1" sqref="L97" xr:uid="{8449490B-8F2F-4764-994A-215BF1B21375}">
      <formula1>"93, 94, 95, 97"</formula1>
    </dataValidation>
    <dataValidation type="list" allowBlank="1" showInputMessage="1" showErrorMessage="1" sqref="L98" xr:uid="{EA011B51-BC61-4662-BD7B-422CDDF68039}">
      <formula1>"94, 95, 96, 98"</formula1>
    </dataValidation>
    <dataValidation type="list" allowBlank="1" showInputMessage="1" showErrorMessage="1" sqref="L99" xr:uid="{4505A5B0-FD0B-40CF-8576-1CA90B1B225F}">
      <formula1>"95, 96, 97, 99"</formula1>
    </dataValidation>
    <dataValidation type="list" allowBlank="1" showInputMessage="1" showErrorMessage="1" sqref="L100" xr:uid="{853C1774-AB90-499B-BC3D-4734B9FEF918}">
      <formula1>"96, 97, 98, 100"</formula1>
    </dataValidation>
    <dataValidation type="list" allowBlank="1" showInputMessage="1" showErrorMessage="1" sqref="L101" xr:uid="{586F23EE-97AD-461C-B41E-5894A4402863}">
      <formula1>"98, 99, 101"</formula1>
    </dataValidation>
    <dataValidation type="list" allowBlank="1" showInputMessage="1" showErrorMessage="1" sqref="L102" xr:uid="{F2B76E1E-5E4C-438D-B256-AB4FF4E137C1}">
      <formula1>"99, 100, 102"</formula1>
    </dataValidation>
    <dataValidation type="list" allowBlank="1" showInputMessage="1" showErrorMessage="1" sqref="L103" xr:uid="{1EE9859E-D718-4158-9A55-F7221B287EDC}">
      <formula1>"100, 103"</formula1>
    </dataValidation>
    <dataValidation type="list" allowBlank="1" showInputMessage="1" showErrorMessage="1" sqref="L104" xr:uid="{74A46F24-74D3-4DB9-BCCD-A467AC0F3816}">
      <formula1>"100, 101, 104"</formula1>
    </dataValidation>
    <dataValidation type="list" allowBlank="1" showInputMessage="1" showErrorMessage="1" sqref="L105" xr:uid="{F24BB243-63AA-44F9-BB7A-637E0E085E4C}">
      <formula1>"100, 105"</formula1>
    </dataValidation>
    <dataValidation type="list" allowBlank="1" showInputMessage="1" showErrorMessage="1" sqref="L106" xr:uid="{CAAF510F-CC96-4ED9-B6AD-E1855BE6200F}">
      <formula1>"101, 102, 106"</formula1>
    </dataValidation>
    <dataValidation type="list" allowBlank="1" showInputMessage="1" showErrorMessage="1" sqref="L107" xr:uid="{1F658BB9-281E-41EC-89BB-2EE114155F36}">
      <formula1>"100, 102, 103, 104, 107"</formula1>
    </dataValidation>
    <dataValidation type="list" allowBlank="1" showInputMessage="1" showErrorMessage="1" sqref="L108" xr:uid="{FD4C3EA1-9FA3-4C4A-86B2-5AC72790AD02}">
      <formula1>"100, 102, 104, 105, 106, 108"</formula1>
    </dataValidation>
    <dataValidation type="list" allowBlank="1" showInputMessage="1" showErrorMessage="1" sqref="L109" xr:uid="{8357FF33-02D2-4F87-91F2-FE6D92C7747F}">
      <formula1>"100, 101, 102, 103, 104, 105, 106, 107, 108, 109"</formula1>
    </dataValidation>
    <dataValidation type="list" allowBlank="1" showInputMessage="1" showErrorMessage="1" sqref="L110" xr:uid="{0612E451-D62D-48CD-BECA-D6F21379FACE}">
      <formula1>"104, 105, 106, 107, 108, 109, 110"</formula1>
    </dataValidation>
    <dataValidation type="list" allowBlank="1" showInputMessage="1" showErrorMessage="1" sqref="L111:L112" xr:uid="{F398A10C-EE87-47C8-A6E6-AA4071E4DCFF}">
      <formula1>"106, 108, 110, 111, 112"</formula1>
    </dataValidation>
    <dataValidation type="list" allowBlank="1" showInputMessage="1" showErrorMessage="1" sqref="L113" xr:uid="{4C8A00A6-BB37-44A9-B818-FC123FA3199B}">
      <formula1>"110, 112, 113"</formula1>
    </dataValidation>
    <dataValidation type="list" allowBlank="1" showInputMessage="1" showErrorMessage="1" sqref="L114" xr:uid="{04B21B84-6B5D-4816-A4E8-DE06A91AD159}">
      <formula1>"110, 112, 114"</formula1>
    </dataValidation>
    <dataValidation type="list" allowBlank="1" showInputMessage="1" showErrorMessage="1" sqref="L115" xr:uid="{234E5422-2C9D-4587-9B62-215E01986E10}">
      <formula1>"112, 114, 115"</formula1>
    </dataValidation>
    <dataValidation type="list" allowBlank="1" showInputMessage="1" showErrorMessage="1" sqref="L116" xr:uid="{633776BF-86A2-4274-9C30-210DD6E47673}">
      <formula1>"112, 114, 116"</formula1>
    </dataValidation>
    <dataValidation type="list" allowBlank="1" showInputMessage="1" showErrorMessage="1" sqref="L117" xr:uid="{D339F14B-8393-467E-ADFB-2328FB6CE818}">
      <formula1>"112, 114, 116, 117, 118"</formula1>
    </dataValidation>
    <dataValidation type="list" allowBlank="1" showInputMessage="1" showErrorMessage="1" sqref="L118" xr:uid="{504CAC84-B0A9-435D-89C3-A9D60A8401DC}">
      <formula1>"112, 114, 116, 118, 117"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disablePrompts="1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397</v>
      </c>
    </row>
    <row r="53" spans="1:3" x14ac:dyDescent="0.3">
      <c r="A53">
        <v>53</v>
      </c>
      <c r="B53" t="s">
        <v>397</v>
      </c>
    </row>
    <row r="54" spans="1:3" x14ac:dyDescent="0.3">
      <c r="A54">
        <v>54</v>
      </c>
      <c r="B54" t="s">
        <v>397</v>
      </c>
      <c r="C54" t="s">
        <v>399</v>
      </c>
    </row>
    <row r="55" spans="1:3" x14ac:dyDescent="0.3">
      <c r="A55">
        <v>55</v>
      </c>
      <c r="B55" t="s">
        <v>398</v>
      </c>
    </row>
    <row r="56" spans="1:3" x14ac:dyDescent="0.3">
      <c r="A56">
        <v>56</v>
      </c>
      <c r="B56" t="s">
        <v>399</v>
      </c>
    </row>
    <row r="57" spans="1:3" x14ac:dyDescent="0.3">
      <c r="A57">
        <v>57</v>
      </c>
      <c r="B57" t="s">
        <v>399</v>
      </c>
    </row>
    <row r="58" spans="1:3" x14ac:dyDescent="0.3">
      <c r="A58">
        <v>58</v>
      </c>
      <c r="B58" t="s">
        <v>399</v>
      </c>
      <c r="C58" t="s">
        <v>401</v>
      </c>
    </row>
    <row r="59" spans="1:3" x14ac:dyDescent="0.3">
      <c r="A59">
        <v>59</v>
      </c>
      <c r="B59" t="s">
        <v>400</v>
      </c>
    </row>
    <row r="60" spans="1:3" x14ac:dyDescent="0.3">
      <c r="A60">
        <v>60</v>
      </c>
      <c r="B60" t="s">
        <v>401</v>
      </c>
    </row>
    <row r="61" spans="1:3" x14ac:dyDescent="0.3">
      <c r="A61">
        <v>61</v>
      </c>
      <c r="B61" t="s">
        <v>401</v>
      </c>
    </row>
    <row r="62" spans="1:3" x14ac:dyDescent="0.3">
      <c r="A62">
        <v>62</v>
      </c>
      <c r="B62" t="s">
        <v>401</v>
      </c>
    </row>
    <row r="63" spans="1:3" x14ac:dyDescent="0.3">
      <c r="A63">
        <v>63</v>
      </c>
      <c r="B63" t="s">
        <v>402</v>
      </c>
    </row>
    <row r="64" spans="1:3" x14ac:dyDescent="0.3">
      <c r="A64">
        <v>64</v>
      </c>
      <c r="B64" t="s">
        <v>401</v>
      </c>
      <c r="C64" t="s">
        <v>403</v>
      </c>
    </row>
    <row r="65" spans="1:3" x14ac:dyDescent="0.3">
      <c r="A65">
        <v>65</v>
      </c>
      <c r="B65" t="s">
        <v>402</v>
      </c>
    </row>
    <row r="66" spans="1:3" x14ac:dyDescent="0.3">
      <c r="A66">
        <v>66</v>
      </c>
      <c r="B66" t="s">
        <v>403</v>
      </c>
    </row>
    <row r="67" spans="1:3" x14ac:dyDescent="0.3">
      <c r="A67">
        <v>67</v>
      </c>
      <c r="B67" t="s">
        <v>403</v>
      </c>
    </row>
    <row r="68" spans="1:3" x14ac:dyDescent="0.3">
      <c r="A68">
        <v>68</v>
      </c>
      <c r="B68" t="s">
        <v>403</v>
      </c>
    </row>
    <row r="69" spans="1:3" x14ac:dyDescent="0.3">
      <c r="A69">
        <v>69</v>
      </c>
      <c r="B69" t="s">
        <v>404</v>
      </c>
    </row>
    <row r="70" spans="1:3" x14ac:dyDescent="0.3">
      <c r="A70">
        <v>70</v>
      </c>
      <c r="B70" t="s">
        <v>403</v>
      </c>
      <c r="C70" t="s">
        <v>405</v>
      </c>
    </row>
    <row r="71" spans="1:3" x14ac:dyDescent="0.3">
      <c r="A71">
        <v>71</v>
      </c>
      <c r="B71" t="s">
        <v>404</v>
      </c>
    </row>
    <row r="72" spans="1:3" x14ac:dyDescent="0.3">
      <c r="A72">
        <v>72</v>
      </c>
      <c r="B72" t="s">
        <v>405</v>
      </c>
    </row>
    <row r="73" spans="1:3" x14ac:dyDescent="0.3">
      <c r="A73">
        <v>73</v>
      </c>
      <c r="B73" t="s">
        <v>405</v>
      </c>
    </row>
    <row r="74" spans="1:3" x14ac:dyDescent="0.3">
      <c r="A74">
        <v>74</v>
      </c>
      <c r="B74" t="s">
        <v>405</v>
      </c>
      <c r="C74" t="s">
        <v>407</v>
      </c>
    </row>
    <row r="75" spans="1:3" x14ac:dyDescent="0.3">
      <c r="A75">
        <v>75</v>
      </c>
      <c r="B75" t="s">
        <v>406</v>
      </c>
    </row>
    <row r="76" spans="1:3" x14ac:dyDescent="0.3">
      <c r="A76">
        <v>76</v>
      </c>
      <c r="B76" t="s">
        <v>405</v>
      </c>
      <c r="C76" t="s">
        <v>407</v>
      </c>
    </row>
    <row r="77" spans="1:3" x14ac:dyDescent="0.3">
      <c r="A77">
        <v>77</v>
      </c>
      <c r="B77" t="s">
        <v>407</v>
      </c>
    </row>
    <row r="78" spans="1:3" x14ac:dyDescent="0.3">
      <c r="A78">
        <v>78</v>
      </c>
      <c r="B78" t="s">
        <v>407</v>
      </c>
      <c r="C78" t="s">
        <v>409</v>
      </c>
    </row>
    <row r="79" spans="1:3" x14ac:dyDescent="0.3">
      <c r="A79">
        <v>79</v>
      </c>
      <c r="B79" t="s">
        <v>408</v>
      </c>
    </row>
    <row r="80" spans="1:3" x14ac:dyDescent="0.3">
      <c r="A80">
        <v>80</v>
      </c>
      <c r="B80" t="s">
        <v>407</v>
      </c>
      <c r="C80" t="s">
        <v>409</v>
      </c>
    </row>
    <row r="81" spans="1:4" x14ac:dyDescent="0.3">
      <c r="A81">
        <v>81</v>
      </c>
      <c r="B81" t="s">
        <v>408</v>
      </c>
    </row>
    <row r="82" spans="1:4" x14ac:dyDescent="0.3">
      <c r="A82">
        <v>82</v>
      </c>
      <c r="B82" t="s">
        <v>407</v>
      </c>
      <c r="C82" t="s">
        <v>409</v>
      </c>
    </row>
    <row r="83" spans="1:4" x14ac:dyDescent="0.3">
      <c r="A83">
        <v>83</v>
      </c>
      <c r="B83" t="s">
        <v>409</v>
      </c>
    </row>
    <row r="84" spans="1:4" x14ac:dyDescent="0.3">
      <c r="A84">
        <v>84</v>
      </c>
      <c r="B84" t="s">
        <v>409</v>
      </c>
      <c r="C84" t="s">
        <v>411</v>
      </c>
    </row>
    <row r="85" spans="1:4" x14ac:dyDescent="0.3">
      <c r="A85">
        <v>85</v>
      </c>
      <c r="B85" t="s">
        <v>410</v>
      </c>
    </row>
    <row r="86" spans="1:4" x14ac:dyDescent="0.3">
      <c r="A86">
        <v>86</v>
      </c>
      <c r="B86" t="s">
        <v>409</v>
      </c>
      <c r="C86" t="s">
        <v>411</v>
      </c>
    </row>
    <row r="87" spans="1:4" x14ac:dyDescent="0.3">
      <c r="A87">
        <v>87</v>
      </c>
      <c r="B87" t="s">
        <v>410</v>
      </c>
      <c r="C87" t="s">
        <v>411</v>
      </c>
    </row>
    <row r="88" spans="1:4" x14ac:dyDescent="0.3">
      <c r="A88">
        <v>88</v>
      </c>
      <c r="B88" t="s">
        <v>411</v>
      </c>
    </row>
    <row r="89" spans="1:4" x14ac:dyDescent="0.3">
      <c r="A89">
        <v>89</v>
      </c>
      <c r="B89" t="s">
        <v>412</v>
      </c>
    </row>
    <row r="90" spans="1:4" x14ac:dyDescent="0.3">
      <c r="A90">
        <v>90</v>
      </c>
      <c r="B90" t="s">
        <v>413</v>
      </c>
    </row>
    <row r="91" spans="1:4" x14ac:dyDescent="0.3">
      <c r="A91">
        <v>91</v>
      </c>
      <c r="B91" t="s">
        <v>413</v>
      </c>
    </row>
    <row r="92" spans="1:4" x14ac:dyDescent="0.3">
      <c r="A92">
        <v>92</v>
      </c>
      <c r="B92" t="s">
        <v>413</v>
      </c>
      <c r="C92" t="s">
        <v>414</v>
      </c>
    </row>
    <row r="93" spans="1:4" x14ac:dyDescent="0.3">
      <c r="A93">
        <v>93</v>
      </c>
      <c r="B93" t="s">
        <v>417</v>
      </c>
    </row>
    <row r="94" spans="1:4" x14ac:dyDescent="0.3">
      <c r="A94">
        <v>94</v>
      </c>
      <c r="B94" t="s">
        <v>413</v>
      </c>
      <c r="C94" t="s">
        <v>414</v>
      </c>
    </row>
    <row r="95" spans="1:4" x14ac:dyDescent="0.3">
      <c r="A95">
        <v>95</v>
      </c>
      <c r="B95" t="s">
        <v>414</v>
      </c>
    </row>
    <row r="96" spans="1:4" x14ac:dyDescent="0.3">
      <c r="A96">
        <v>96</v>
      </c>
      <c r="B96" t="s">
        <v>413</v>
      </c>
      <c r="C96" t="s">
        <v>414</v>
      </c>
      <c r="D96" t="s">
        <v>416</v>
      </c>
    </row>
    <row r="97" spans="1:4" x14ac:dyDescent="0.3">
      <c r="A97">
        <v>97</v>
      </c>
      <c r="B97" t="s">
        <v>414</v>
      </c>
      <c r="C97" t="s">
        <v>415</v>
      </c>
    </row>
    <row r="98" spans="1:4" x14ac:dyDescent="0.3">
      <c r="A98">
        <v>98</v>
      </c>
      <c r="B98" t="s">
        <v>414</v>
      </c>
      <c r="D98" t="s">
        <v>416</v>
      </c>
    </row>
    <row r="99" spans="1:4" x14ac:dyDescent="0.3">
      <c r="A99">
        <v>99</v>
      </c>
      <c r="B99" t="s">
        <v>416</v>
      </c>
    </row>
    <row r="100" spans="1:4" x14ac:dyDescent="0.3">
      <c r="A100">
        <v>100</v>
      </c>
      <c r="B100" t="s">
        <v>414</v>
      </c>
      <c r="C100" t="s">
        <v>416</v>
      </c>
    </row>
    <row r="101" spans="1:4" x14ac:dyDescent="0.3">
      <c r="A101">
        <v>101</v>
      </c>
      <c r="B101" t="s">
        <v>416</v>
      </c>
    </row>
    <row r="102" spans="1:4" x14ac:dyDescent="0.3">
      <c r="A102">
        <v>102</v>
      </c>
      <c r="B102" t="s">
        <v>416</v>
      </c>
      <c r="C102" t="s">
        <v>419</v>
      </c>
    </row>
    <row r="103" spans="1:4" x14ac:dyDescent="0.3">
      <c r="A103">
        <v>103</v>
      </c>
      <c r="B103" t="s">
        <v>418</v>
      </c>
    </row>
    <row r="104" spans="1:4" x14ac:dyDescent="0.3">
      <c r="A104">
        <v>104</v>
      </c>
      <c r="B104" t="s">
        <v>416</v>
      </c>
      <c r="C104" t="s">
        <v>419</v>
      </c>
    </row>
    <row r="105" spans="1:4" x14ac:dyDescent="0.3">
      <c r="A105">
        <v>105</v>
      </c>
      <c r="B105" t="s">
        <v>419</v>
      </c>
    </row>
    <row r="106" spans="1:4" x14ac:dyDescent="0.3">
      <c r="A106">
        <v>106</v>
      </c>
      <c r="B106" t="s">
        <v>419</v>
      </c>
      <c r="C106" t="s">
        <v>421</v>
      </c>
    </row>
    <row r="107" spans="1:4" x14ac:dyDescent="0.3">
      <c r="A107">
        <v>107</v>
      </c>
      <c r="B107" t="s">
        <v>420</v>
      </c>
    </row>
    <row r="108" spans="1:4" x14ac:dyDescent="0.3">
      <c r="A108">
        <v>108</v>
      </c>
      <c r="B108" t="s">
        <v>419</v>
      </c>
      <c r="C108" t="s">
        <v>421</v>
      </c>
    </row>
    <row r="109" spans="1:4" x14ac:dyDescent="0.3">
      <c r="A109">
        <v>109</v>
      </c>
      <c r="B109" t="s">
        <v>420</v>
      </c>
    </row>
    <row r="110" spans="1:4" x14ac:dyDescent="0.3">
      <c r="A110">
        <v>110</v>
      </c>
      <c r="B110" t="s">
        <v>419</v>
      </c>
      <c r="C110" t="s">
        <v>421</v>
      </c>
    </row>
    <row r="111" spans="1:4" x14ac:dyDescent="0.3">
      <c r="A111">
        <v>111</v>
      </c>
      <c r="B111" t="s">
        <v>421</v>
      </c>
    </row>
    <row r="112" spans="1:4" x14ac:dyDescent="0.3">
      <c r="A112">
        <v>112</v>
      </c>
      <c r="B112" t="s">
        <v>421</v>
      </c>
      <c r="C112" t="s">
        <v>423</v>
      </c>
    </row>
    <row r="113" spans="1:4" x14ac:dyDescent="0.3">
      <c r="A113">
        <v>113</v>
      </c>
      <c r="B113" t="s">
        <v>421</v>
      </c>
      <c r="C113" t="s">
        <v>422</v>
      </c>
    </row>
    <row r="114" spans="1:4" x14ac:dyDescent="0.3">
      <c r="A114">
        <v>114</v>
      </c>
      <c r="B114" t="s">
        <v>421</v>
      </c>
      <c r="C114" t="s">
        <v>423</v>
      </c>
    </row>
    <row r="115" spans="1:4" x14ac:dyDescent="0.3">
      <c r="A115">
        <v>115</v>
      </c>
      <c r="B115" t="s">
        <v>422</v>
      </c>
      <c r="C115" t="s">
        <v>423</v>
      </c>
    </row>
    <row r="116" spans="1:4" x14ac:dyDescent="0.3">
      <c r="A116">
        <v>116</v>
      </c>
      <c r="B116" t="s">
        <v>421</v>
      </c>
      <c r="C116" t="s">
        <v>423</v>
      </c>
    </row>
    <row r="117" spans="1:4" x14ac:dyDescent="0.3">
      <c r="A117">
        <v>117</v>
      </c>
      <c r="B117" t="s">
        <v>423</v>
      </c>
    </row>
    <row r="118" spans="1:4" x14ac:dyDescent="0.3">
      <c r="A118">
        <v>118</v>
      </c>
      <c r="B118" t="s">
        <v>423</v>
      </c>
    </row>
    <row r="119" spans="1:4" x14ac:dyDescent="0.3">
      <c r="A119">
        <v>119</v>
      </c>
      <c r="B119" t="s">
        <v>423</v>
      </c>
    </row>
    <row r="120" spans="1:4" x14ac:dyDescent="0.3">
      <c r="A120">
        <v>120</v>
      </c>
      <c r="B120" t="s">
        <v>423</v>
      </c>
      <c r="C120" t="s">
        <v>425</v>
      </c>
    </row>
    <row r="121" spans="1:4" x14ac:dyDescent="0.3">
      <c r="A121">
        <v>121</v>
      </c>
      <c r="B121" t="s">
        <v>423</v>
      </c>
    </row>
    <row r="122" spans="1:4" x14ac:dyDescent="0.3">
      <c r="A122">
        <v>122</v>
      </c>
      <c r="B122" t="s">
        <v>423</v>
      </c>
      <c r="C122" t="s">
        <v>425</v>
      </c>
    </row>
    <row r="123" spans="1:4" x14ac:dyDescent="0.3">
      <c r="A123">
        <v>123</v>
      </c>
      <c r="C123" t="s">
        <v>425</v>
      </c>
    </row>
    <row r="124" spans="1:4" x14ac:dyDescent="0.3">
      <c r="A124">
        <v>124</v>
      </c>
      <c r="B124" t="s">
        <v>423</v>
      </c>
      <c r="C124" t="s">
        <v>425</v>
      </c>
      <c r="D124" t="s">
        <v>427</v>
      </c>
    </row>
    <row r="125" spans="1:4" x14ac:dyDescent="0.3">
      <c r="A125">
        <v>125</v>
      </c>
      <c r="B125" t="s">
        <v>424</v>
      </c>
      <c r="C125" t="s">
        <v>425</v>
      </c>
    </row>
    <row r="126" spans="1:4" x14ac:dyDescent="0.3">
      <c r="A126">
        <v>126</v>
      </c>
      <c r="B126" t="s">
        <v>423</v>
      </c>
      <c r="C126" t="s">
        <v>425</v>
      </c>
      <c r="D126" t="s">
        <v>427</v>
      </c>
    </row>
    <row r="127" spans="1:4" x14ac:dyDescent="0.3">
      <c r="A127">
        <v>127</v>
      </c>
      <c r="B127" t="s">
        <v>424</v>
      </c>
      <c r="C127" t="s">
        <v>426</v>
      </c>
    </row>
    <row r="128" spans="1:4" x14ac:dyDescent="0.3">
      <c r="A128">
        <v>128</v>
      </c>
      <c r="B128" t="s">
        <v>425</v>
      </c>
      <c r="D128" t="s">
        <v>427</v>
      </c>
    </row>
    <row r="129" spans="1:4" x14ac:dyDescent="0.3">
      <c r="A129">
        <v>129</v>
      </c>
      <c r="B129" t="s">
        <v>427</v>
      </c>
    </row>
    <row r="130" spans="1:4" x14ac:dyDescent="0.3">
      <c r="A130">
        <v>130</v>
      </c>
      <c r="B130" t="s">
        <v>425</v>
      </c>
      <c r="C130" t="s">
        <v>427</v>
      </c>
      <c r="D130" t="s">
        <v>429</v>
      </c>
    </row>
    <row r="131" spans="1:4" x14ac:dyDescent="0.3">
      <c r="A131">
        <v>131</v>
      </c>
      <c r="B131" t="s">
        <v>427</v>
      </c>
    </row>
    <row r="132" spans="1:4" x14ac:dyDescent="0.3">
      <c r="A132">
        <v>132</v>
      </c>
      <c r="B132" t="s">
        <v>427</v>
      </c>
      <c r="C132" t="s">
        <v>429</v>
      </c>
    </row>
    <row r="133" spans="1:4" x14ac:dyDescent="0.3">
      <c r="A133">
        <v>133</v>
      </c>
      <c r="B133" t="s">
        <v>428</v>
      </c>
    </row>
    <row r="134" spans="1:4" x14ac:dyDescent="0.3">
      <c r="A134">
        <v>134</v>
      </c>
      <c r="B134" t="s">
        <v>427</v>
      </c>
      <c r="C134" t="s">
        <v>429</v>
      </c>
    </row>
    <row r="135" spans="1:4" x14ac:dyDescent="0.3">
      <c r="A135">
        <v>135</v>
      </c>
      <c r="B135" t="s">
        <v>429</v>
      </c>
    </row>
    <row r="136" spans="1:4" x14ac:dyDescent="0.3">
      <c r="A136">
        <v>136</v>
      </c>
      <c r="B136" t="s">
        <v>427</v>
      </c>
      <c r="C136" t="s">
        <v>429</v>
      </c>
      <c r="D136" t="s">
        <v>430</v>
      </c>
    </row>
    <row r="137" spans="1:4" x14ac:dyDescent="0.3">
      <c r="A137">
        <v>137</v>
      </c>
      <c r="B137" t="s">
        <v>429</v>
      </c>
    </row>
    <row r="138" spans="1:4" x14ac:dyDescent="0.3">
      <c r="A138">
        <v>138</v>
      </c>
      <c r="B138" t="s">
        <v>429</v>
      </c>
      <c r="C138" t="s">
        <v>430</v>
      </c>
      <c r="D138" t="s">
        <v>462</v>
      </c>
    </row>
    <row r="139" spans="1:4" x14ac:dyDescent="0.3">
      <c r="A139">
        <v>139</v>
      </c>
      <c r="B139" t="s">
        <v>462</v>
      </c>
    </row>
    <row r="140" spans="1:4" x14ac:dyDescent="0.3">
      <c r="A140">
        <v>140</v>
      </c>
      <c r="B140" t="s">
        <v>430</v>
      </c>
    </row>
    <row r="141" spans="1:4" x14ac:dyDescent="0.3">
      <c r="A141">
        <v>141</v>
      </c>
      <c r="B141" t="s">
        <v>431</v>
      </c>
    </row>
    <row r="142" spans="1:4" x14ac:dyDescent="0.3">
      <c r="A142">
        <v>142</v>
      </c>
      <c r="B142" t="s">
        <v>430</v>
      </c>
      <c r="C142" t="s">
        <v>432</v>
      </c>
    </row>
    <row r="143" spans="1:4" x14ac:dyDescent="0.3">
      <c r="A143">
        <v>143</v>
      </c>
      <c r="B143" t="s">
        <v>432</v>
      </c>
    </row>
    <row r="144" spans="1:4" x14ac:dyDescent="0.3">
      <c r="A144">
        <v>144</v>
      </c>
      <c r="B144" t="s">
        <v>432</v>
      </c>
      <c r="C144" t="s">
        <v>464</v>
      </c>
    </row>
    <row r="145" spans="1:3" x14ac:dyDescent="0.3">
      <c r="A145">
        <v>145</v>
      </c>
      <c r="B145" t="s">
        <v>432</v>
      </c>
      <c r="C145" t="s">
        <v>463</v>
      </c>
    </row>
    <row r="146" spans="1:3" x14ac:dyDescent="0.3">
      <c r="A146">
        <v>146</v>
      </c>
      <c r="B146" t="s">
        <v>432</v>
      </c>
    </row>
    <row r="147" spans="1:3" x14ac:dyDescent="0.3">
      <c r="A147">
        <v>147</v>
      </c>
      <c r="B147" t="s">
        <v>464</v>
      </c>
    </row>
    <row r="148" spans="1:3" x14ac:dyDescent="0.3">
      <c r="A148">
        <v>148</v>
      </c>
      <c r="B148" t="s">
        <v>432</v>
      </c>
      <c r="C148" t="s">
        <v>464</v>
      </c>
    </row>
    <row r="149" spans="1:3" x14ac:dyDescent="0.3">
      <c r="A149">
        <v>149</v>
      </c>
      <c r="B149" t="s">
        <v>464</v>
      </c>
    </row>
    <row r="150" spans="1:3" x14ac:dyDescent="0.3">
      <c r="A150">
        <v>150</v>
      </c>
      <c r="B150" t="s">
        <v>464</v>
      </c>
      <c r="C150" t="s">
        <v>432</v>
      </c>
    </row>
    <row r="151" spans="1:3" x14ac:dyDescent="0.3">
      <c r="A151">
        <v>151</v>
      </c>
      <c r="B151" t="s">
        <v>433</v>
      </c>
    </row>
    <row r="152" spans="1:3" x14ac:dyDescent="0.3">
      <c r="A152">
        <v>152</v>
      </c>
      <c r="B152" t="s">
        <v>464</v>
      </c>
      <c r="C152" t="s">
        <v>434</v>
      </c>
    </row>
    <row r="153" spans="1:3" x14ac:dyDescent="0.3">
      <c r="A153">
        <v>153</v>
      </c>
      <c r="B153" t="s">
        <v>433</v>
      </c>
    </row>
    <row r="154" spans="1:3" x14ac:dyDescent="0.3">
      <c r="A154">
        <v>154</v>
      </c>
      <c r="B154" t="s">
        <v>464</v>
      </c>
      <c r="C154" t="s">
        <v>434</v>
      </c>
    </row>
    <row r="155" spans="1:3" x14ac:dyDescent="0.3">
      <c r="A155">
        <v>155</v>
      </c>
      <c r="B155" t="s">
        <v>434</v>
      </c>
    </row>
    <row r="156" spans="1:3" x14ac:dyDescent="0.3">
      <c r="A156">
        <v>156</v>
      </c>
      <c r="B156" t="s">
        <v>434</v>
      </c>
      <c r="C156" t="s">
        <v>436</v>
      </c>
    </row>
    <row r="157" spans="1:3" x14ac:dyDescent="0.3">
      <c r="A157">
        <v>157</v>
      </c>
      <c r="B157" t="s">
        <v>434</v>
      </c>
    </row>
    <row r="158" spans="1:3" x14ac:dyDescent="0.3">
      <c r="A158">
        <v>158</v>
      </c>
      <c r="B158" t="s">
        <v>434</v>
      </c>
      <c r="C158" t="s">
        <v>436</v>
      </c>
    </row>
    <row r="159" spans="1:3" x14ac:dyDescent="0.3">
      <c r="A159">
        <v>159</v>
      </c>
      <c r="B159" t="s">
        <v>435</v>
      </c>
    </row>
    <row r="160" spans="1:3" x14ac:dyDescent="0.3">
      <c r="A160">
        <v>160</v>
      </c>
      <c r="B160" t="s">
        <v>434</v>
      </c>
      <c r="C160" t="s">
        <v>436</v>
      </c>
    </row>
    <row r="161" spans="1:4" x14ac:dyDescent="0.3">
      <c r="A161">
        <v>161</v>
      </c>
      <c r="B161" t="s">
        <v>436</v>
      </c>
    </row>
    <row r="162" spans="1:4" x14ac:dyDescent="0.3">
      <c r="A162">
        <v>162</v>
      </c>
      <c r="B162" t="s">
        <v>436</v>
      </c>
      <c r="C162" t="s">
        <v>438</v>
      </c>
    </row>
    <row r="163" spans="1:4" x14ac:dyDescent="0.3">
      <c r="A163">
        <v>163</v>
      </c>
      <c r="B163" t="s">
        <v>436</v>
      </c>
    </row>
    <row r="164" spans="1:4" x14ac:dyDescent="0.3">
      <c r="A164">
        <v>164</v>
      </c>
      <c r="B164" t="s">
        <v>436</v>
      </c>
      <c r="C164" t="s">
        <v>438</v>
      </c>
    </row>
    <row r="165" spans="1:4" x14ac:dyDescent="0.3">
      <c r="A165">
        <v>165</v>
      </c>
      <c r="B165" t="s">
        <v>437</v>
      </c>
    </row>
    <row r="166" spans="1:4" x14ac:dyDescent="0.3">
      <c r="A166">
        <v>166</v>
      </c>
      <c r="B166" t="s">
        <v>438</v>
      </c>
    </row>
    <row r="167" spans="1:4" x14ac:dyDescent="0.3">
      <c r="A167">
        <v>167</v>
      </c>
      <c r="B167" t="s">
        <v>438</v>
      </c>
    </row>
    <row r="168" spans="1:4" x14ac:dyDescent="0.3">
      <c r="A168">
        <v>168</v>
      </c>
      <c r="B168" t="s">
        <v>438</v>
      </c>
      <c r="C168" t="s">
        <v>440</v>
      </c>
    </row>
    <row r="169" spans="1:4" x14ac:dyDescent="0.3">
      <c r="A169">
        <v>169</v>
      </c>
      <c r="B169" t="s">
        <v>439</v>
      </c>
    </row>
    <row r="170" spans="1:4" x14ac:dyDescent="0.3">
      <c r="A170">
        <v>170</v>
      </c>
      <c r="B170" t="s">
        <v>438</v>
      </c>
      <c r="C170" t="s">
        <v>440</v>
      </c>
    </row>
    <row r="171" spans="1:4" x14ac:dyDescent="0.3">
      <c r="A171">
        <v>171</v>
      </c>
      <c r="B171" t="s">
        <v>440</v>
      </c>
    </row>
    <row r="172" spans="1:4" x14ac:dyDescent="0.3">
      <c r="A172">
        <v>172</v>
      </c>
      <c r="B172" t="s">
        <v>440</v>
      </c>
    </row>
    <row r="173" spans="1:4" x14ac:dyDescent="0.3">
      <c r="A173">
        <v>173</v>
      </c>
      <c r="B173" t="s">
        <v>440</v>
      </c>
    </row>
    <row r="174" spans="1:4" x14ac:dyDescent="0.3">
      <c r="A174">
        <v>174</v>
      </c>
      <c r="B174" t="s">
        <v>440</v>
      </c>
      <c r="C174" t="s">
        <v>442</v>
      </c>
    </row>
    <row r="175" spans="1:4" x14ac:dyDescent="0.3">
      <c r="A175">
        <v>175</v>
      </c>
      <c r="B175" t="s">
        <v>441</v>
      </c>
    </row>
    <row r="176" spans="1:4" x14ac:dyDescent="0.3">
      <c r="A176">
        <v>176</v>
      </c>
      <c r="B176" t="s">
        <v>440</v>
      </c>
      <c r="C176" t="s">
        <v>441</v>
      </c>
      <c r="D176" t="s">
        <v>442</v>
      </c>
    </row>
    <row r="177" spans="1:4" x14ac:dyDescent="0.3">
      <c r="A177">
        <v>177</v>
      </c>
      <c r="B177" t="s">
        <v>442</v>
      </c>
    </row>
    <row r="178" spans="1:4" x14ac:dyDescent="0.3">
      <c r="A178">
        <v>178</v>
      </c>
      <c r="B178" t="s">
        <v>442</v>
      </c>
    </row>
    <row r="179" spans="1:4" x14ac:dyDescent="0.3">
      <c r="A179">
        <v>179</v>
      </c>
      <c r="B179" t="s">
        <v>442</v>
      </c>
    </row>
    <row r="180" spans="1:4" x14ac:dyDescent="0.3">
      <c r="A180">
        <v>180</v>
      </c>
      <c r="B180" t="s">
        <v>442</v>
      </c>
      <c r="C180" t="s">
        <v>443</v>
      </c>
      <c r="D180" t="s">
        <v>444</v>
      </c>
    </row>
    <row r="181" spans="1:4" x14ac:dyDescent="0.3">
      <c r="A181">
        <v>181</v>
      </c>
      <c r="B181" t="s">
        <v>443</v>
      </c>
    </row>
    <row r="182" spans="1:4" x14ac:dyDescent="0.3">
      <c r="A182">
        <v>182</v>
      </c>
      <c r="B182" t="s">
        <v>444</v>
      </c>
    </row>
    <row r="183" spans="1:4" x14ac:dyDescent="0.3">
      <c r="A183">
        <v>183</v>
      </c>
      <c r="B183" t="s">
        <v>444</v>
      </c>
    </row>
    <row r="184" spans="1:4" x14ac:dyDescent="0.3">
      <c r="A184">
        <v>184</v>
      </c>
      <c r="B184" t="s">
        <v>444</v>
      </c>
      <c r="C184" t="s">
        <v>446</v>
      </c>
    </row>
    <row r="185" spans="1:4" x14ac:dyDescent="0.3">
      <c r="A185">
        <v>185</v>
      </c>
      <c r="B185" t="s">
        <v>445</v>
      </c>
    </row>
    <row r="186" spans="1:4" x14ac:dyDescent="0.3">
      <c r="A186">
        <v>186</v>
      </c>
      <c r="B186" t="s">
        <v>444</v>
      </c>
      <c r="C186" t="s">
        <v>446</v>
      </c>
    </row>
    <row r="187" spans="1:4" x14ac:dyDescent="0.3">
      <c r="A187">
        <v>187</v>
      </c>
      <c r="B187" t="s">
        <v>445</v>
      </c>
      <c r="C187" t="s">
        <v>446</v>
      </c>
    </row>
    <row r="188" spans="1:4" x14ac:dyDescent="0.3">
      <c r="A188">
        <v>188</v>
      </c>
      <c r="B188" t="s">
        <v>446</v>
      </c>
    </row>
    <row r="189" spans="1:4" x14ac:dyDescent="0.3">
      <c r="A189">
        <v>189</v>
      </c>
      <c r="B189" t="s">
        <v>446</v>
      </c>
    </row>
    <row r="190" spans="1:4" x14ac:dyDescent="0.3">
      <c r="A190">
        <v>190</v>
      </c>
      <c r="B190" t="s">
        <v>446</v>
      </c>
      <c r="C190" t="s">
        <v>447</v>
      </c>
    </row>
    <row r="191" spans="1:4" x14ac:dyDescent="0.3">
      <c r="A191">
        <v>191</v>
      </c>
      <c r="B191" t="s">
        <v>422</v>
      </c>
    </row>
    <row r="192" spans="1:4" x14ac:dyDescent="0.3">
      <c r="A192">
        <v>192</v>
      </c>
      <c r="B192" t="s">
        <v>446</v>
      </c>
      <c r="C192" t="s">
        <v>447</v>
      </c>
    </row>
    <row r="193" spans="1:3" x14ac:dyDescent="0.3">
      <c r="A193">
        <v>193</v>
      </c>
      <c r="B193" t="s">
        <v>422</v>
      </c>
    </row>
    <row r="194" spans="1:3" x14ac:dyDescent="0.3">
      <c r="A194">
        <v>194</v>
      </c>
      <c r="B194" t="s">
        <v>447</v>
      </c>
    </row>
    <row r="195" spans="1:3" x14ac:dyDescent="0.3">
      <c r="A195">
        <v>195</v>
      </c>
      <c r="B195" t="s">
        <v>447</v>
      </c>
    </row>
    <row r="196" spans="1:3" x14ac:dyDescent="0.3">
      <c r="A196">
        <v>196</v>
      </c>
      <c r="B196" t="s">
        <v>447</v>
      </c>
      <c r="C196" t="s">
        <v>449</v>
      </c>
    </row>
    <row r="197" spans="1:3" x14ac:dyDescent="0.3">
      <c r="A197">
        <v>197</v>
      </c>
      <c r="B197" t="s">
        <v>448</v>
      </c>
    </row>
    <row r="198" spans="1:3" x14ac:dyDescent="0.3">
      <c r="A198">
        <v>198</v>
      </c>
      <c r="B198" t="s">
        <v>447</v>
      </c>
      <c r="C198" t="s">
        <v>449</v>
      </c>
    </row>
    <row r="199" spans="1:3" x14ac:dyDescent="0.3">
      <c r="A199">
        <v>199</v>
      </c>
      <c r="B199" t="s">
        <v>449</v>
      </c>
    </row>
    <row r="200" spans="1:3" x14ac:dyDescent="0.3">
      <c r="A200">
        <v>200</v>
      </c>
      <c r="B200" t="s">
        <v>449</v>
      </c>
    </row>
    <row r="201" spans="1:3" x14ac:dyDescent="0.3">
      <c r="A201">
        <v>201</v>
      </c>
      <c r="B201" t="s">
        <v>449</v>
      </c>
    </row>
    <row r="202" spans="1:3" x14ac:dyDescent="0.3">
      <c r="A202">
        <v>202</v>
      </c>
      <c r="B202" t="s">
        <v>449</v>
      </c>
    </row>
    <row r="203" spans="1:3" x14ac:dyDescent="0.3">
      <c r="A203">
        <v>203</v>
      </c>
      <c r="B203" t="s">
        <v>450</v>
      </c>
    </row>
    <row r="204" spans="1:3" x14ac:dyDescent="0.3">
      <c r="A204">
        <v>204</v>
      </c>
      <c r="B204" t="s">
        <v>449</v>
      </c>
      <c r="C204" t="s">
        <v>451</v>
      </c>
    </row>
    <row r="205" spans="1:3" x14ac:dyDescent="0.3">
      <c r="A205">
        <v>205</v>
      </c>
      <c r="B205" t="s">
        <v>450</v>
      </c>
    </row>
    <row r="206" spans="1:3" x14ac:dyDescent="0.3">
      <c r="A206">
        <v>206</v>
      </c>
      <c r="B206" t="s">
        <v>451</v>
      </c>
    </row>
    <row r="207" spans="1:3" x14ac:dyDescent="0.3">
      <c r="A207">
        <v>207</v>
      </c>
      <c r="B207" t="s">
        <v>451</v>
      </c>
    </row>
    <row r="208" spans="1:3" x14ac:dyDescent="0.3">
      <c r="A208">
        <v>208</v>
      </c>
      <c r="B208" t="s">
        <v>451</v>
      </c>
    </row>
    <row r="209" spans="1:3" x14ac:dyDescent="0.3">
      <c r="A209">
        <v>209</v>
      </c>
      <c r="B209" t="s">
        <v>452</v>
      </c>
      <c r="C209" t="s">
        <v>453</v>
      </c>
    </row>
    <row r="210" spans="1:3" x14ac:dyDescent="0.3">
      <c r="A210">
        <v>210</v>
      </c>
      <c r="B210" t="s">
        <v>454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455</v>
      </c>
    </row>
    <row r="223" spans="1:3" x14ac:dyDescent="0.3">
      <c r="A223">
        <v>223</v>
      </c>
      <c r="B223" t="s">
        <v>456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458</v>
      </c>
    </row>
    <row r="227" spans="1:2" x14ac:dyDescent="0.3">
      <c r="A227">
        <v>227</v>
      </c>
      <c r="B227" t="s">
        <v>457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459</v>
      </c>
    </row>
    <row r="231" spans="1:2" x14ac:dyDescent="0.3">
      <c r="A231">
        <v>231</v>
      </c>
    </row>
    <row r="232" spans="1:2" x14ac:dyDescent="0.3">
      <c r="A232">
        <v>232</v>
      </c>
      <c r="B232" t="s">
        <v>459</v>
      </c>
    </row>
    <row r="233" spans="1:2" x14ac:dyDescent="0.3">
      <c r="A233">
        <v>233</v>
      </c>
    </row>
    <row r="234" spans="1:2" x14ac:dyDescent="0.3">
      <c r="A234">
        <v>234</v>
      </c>
      <c r="B234" t="s">
        <v>460</v>
      </c>
    </row>
    <row r="235" spans="1:2" x14ac:dyDescent="0.3">
      <c r="A235">
        <v>235</v>
      </c>
      <c r="B235" t="s">
        <v>460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4"/>
  <sheetViews>
    <sheetView workbookViewId="0">
      <selection activeCell="C4" sqref="C4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  <row r="4" spans="1:5" x14ac:dyDescent="0.3">
      <c r="A4" t="s">
        <v>495</v>
      </c>
      <c r="C4">
        <v>1</v>
      </c>
      <c r="D4" s="16">
        <v>0.52917721054400002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489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C11"/>
  <sheetViews>
    <sheetView workbookViewId="0">
      <selection activeCell="B10" sqref="B10"/>
    </sheetView>
  </sheetViews>
  <sheetFormatPr defaultColWidth="11.5546875" defaultRowHeight="14.4" x14ac:dyDescent="0.3"/>
  <cols>
    <col min="1" max="1" width="36.77734375" customWidth="1"/>
    <col min="2" max="2" width="11.5546875" customWidth="1"/>
  </cols>
  <sheetData>
    <row r="1" spans="1:3" x14ac:dyDescent="0.3">
      <c r="A1" s="25" t="s">
        <v>461</v>
      </c>
      <c r="B1">
        <f>(8.314462618*'Derived SI Units'!C6)/'SI Units'!C1</f>
        <v>8.3144626180000003</v>
      </c>
    </row>
    <row r="2" spans="1:3" x14ac:dyDescent="0.3">
      <c r="A2" s="25" t="s">
        <v>468</v>
      </c>
      <c r="B2" s="17">
        <f>0.00000000000000125*'SI Units'!C4</f>
        <v>1.25E-15</v>
      </c>
    </row>
    <row r="3" spans="1:3" x14ac:dyDescent="0.3">
      <c r="A3" s="25" t="s">
        <v>498</v>
      </c>
      <c r="B3" s="17">
        <v>1.6021766339999999E-19</v>
      </c>
    </row>
    <row r="4" spans="1:3" x14ac:dyDescent="0.3">
      <c r="A4" s="25" t="s">
        <v>497</v>
      </c>
      <c r="B4" s="17">
        <v>9.1093837015000008E-31</v>
      </c>
      <c r="C4" t="s">
        <v>496</v>
      </c>
    </row>
    <row r="5" spans="1:3" x14ac:dyDescent="0.3">
      <c r="A5" s="25" t="s">
        <v>500</v>
      </c>
      <c r="B5" s="17">
        <v>1.6726219236900001E-27</v>
      </c>
      <c r="C5" t="s">
        <v>496</v>
      </c>
    </row>
    <row r="6" spans="1:3" x14ac:dyDescent="0.3">
      <c r="A6" s="25" t="s">
        <v>501</v>
      </c>
      <c r="B6" s="17">
        <v>1.6749274980399999E-2</v>
      </c>
      <c r="C6" t="s">
        <v>496</v>
      </c>
    </row>
    <row r="7" spans="1:3" x14ac:dyDescent="0.3">
      <c r="A7" s="25" t="s">
        <v>502</v>
      </c>
      <c r="B7" s="17">
        <v>1.6605390666E-27</v>
      </c>
      <c r="C7" t="s">
        <v>496</v>
      </c>
    </row>
    <row r="8" spans="1:3" x14ac:dyDescent="0.3">
      <c r="A8" s="25" t="s">
        <v>503</v>
      </c>
      <c r="B8" s="17">
        <v>8.8541878128000006E-12</v>
      </c>
      <c r="C8" t="s">
        <v>499</v>
      </c>
    </row>
    <row r="9" spans="1:3" x14ac:dyDescent="0.3">
      <c r="A9" s="25" t="s">
        <v>504</v>
      </c>
      <c r="B9" s="17">
        <v>5.2917721090299998E-11</v>
      </c>
      <c r="C9" t="s">
        <v>291</v>
      </c>
    </row>
    <row r="10" spans="1:3" x14ac:dyDescent="0.3">
      <c r="A10" s="25" t="s">
        <v>525</v>
      </c>
    </row>
    <row r="11" spans="1:3" x14ac:dyDescent="0.3">
      <c r="A11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2026-02-17T04:19:52Z</dcterms:modified>
</cp:coreProperties>
</file>