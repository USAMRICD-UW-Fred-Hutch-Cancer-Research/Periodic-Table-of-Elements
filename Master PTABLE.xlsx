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789810FD-828D-4926-A75B-CE667165C238}" xr6:coauthVersionLast="47" xr6:coauthVersionMax="47" xr10:uidLastSave="{00000000-0000-0000-0000-000000000000}"/>
  <bookViews>
    <workbookView xWindow="564" yWindow="1056" windowWidth="24840" windowHeight="23352" activeTab="1" xr2:uid="{BFB828A4-9DEA-4917-9C6F-2C48103403C3}"/>
  </bookViews>
  <sheets>
    <sheet name="Main Table" sheetId="1" r:id="rId1"/>
    <sheet name="Elements" sheetId="2" r:id="rId2"/>
    <sheet name="Sheet11" sheetId="13" r:id="rId3"/>
    <sheet name="Naturally Occuring Isotopes" sheetId="11" r:id="rId4"/>
    <sheet name="Atomic Particles" sheetId="3" r:id="rId5"/>
    <sheet name="Elementary Particles" sheetId="5" r:id="rId6"/>
    <sheet name="Conversion Factors" sheetId="6" r:id="rId7"/>
    <sheet name="SI Units" sheetId="7" r:id="rId8"/>
    <sheet name="Derived SI Units" sheetId="8" r:id="rId9"/>
    <sheet name="Derived SI Unit Quantities" sheetId="9" r:id="rId10"/>
    <sheet name="PVNRT" sheetId="12" r:id="rId11"/>
    <sheet name="Constant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7" i="2" l="1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P1" i="2" s="1"/>
  <c r="C3" i="3" l="1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H106" i="2" l="1"/>
  <c r="H114" i="2"/>
</calcChain>
</file>

<file path=xl/sharedStrings.xml><?xml version="1.0" encoding="utf-8"?>
<sst xmlns="http://schemas.openxmlformats.org/spreadsheetml/2006/main" count="925" uniqueCount="501">
  <si>
    <t>Period</t>
  </si>
  <si>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</si>
  <si>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</si>
  <si>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</si>
  <si>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</si>
  <si>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</si>
  <si>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</si>
  <si>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</si>
  <si>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</si>
  <si>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</si>
  <si>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</si>
  <si>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</si>
  <si>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</si>
  <si>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</si>
  <si>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</si>
  <si>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</si>
  <si>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</si>
  <si>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</si>
  <si>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</si>
  <si>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</si>
  <si>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</si>
  <si>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</si>
  <si>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</si>
  <si>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</si>
  <si>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</si>
  <si>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</si>
  <si>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</si>
  <si>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</si>
  <si>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</si>
  <si>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</si>
  <si>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</si>
  <si>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</si>
  <si>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</si>
  <si>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</si>
  <si>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</si>
  <si>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</si>
  <si>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</si>
  <si>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</si>
  <si>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</si>
  <si>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</si>
  <si>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</si>
  <si>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</si>
  <si>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</si>
  <si>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</si>
  <si>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</si>
  <si>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</si>
  <si>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</si>
  <si>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</si>
  <si>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</si>
  <si>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</si>
  <si>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</si>
  <si>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</si>
  <si>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</si>
  <si>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</si>
  <si>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</si>
  <si>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</si>
  <si>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</si>
  <si>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</si>
  <si>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</si>
  <si>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</si>
  <si>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</si>
  <si>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</si>
  <si>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</si>
  <si>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</si>
  <si>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</si>
  <si>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</si>
  <si>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</si>
  <si>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</si>
  <si>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</si>
  <si>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</si>
  <si>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</si>
  <si>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</si>
  <si>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</si>
  <si>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</si>
  <si>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</si>
  <si>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</si>
  <si>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</si>
  <si>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</si>
  <si>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</si>
  <si>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</si>
  <si>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</si>
  <si>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</si>
  <si>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</si>
  <si>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</si>
  <si>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</si>
  <si>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</si>
  <si>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</si>
  <si>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</si>
  <si>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</si>
  <si>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</si>
  <si>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</si>
  <si>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</si>
  <si>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</si>
  <si>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</si>
  <si>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</si>
  <si>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</si>
  <si>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</si>
  <si>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</si>
  <si>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</si>
  <si>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</si>
  <si>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</si>
  <si>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</si>
  <si>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</si>
  <si>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</si>
  <si>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</si>
  <si>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</si>
  <si>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</si>
  <si>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</si>
  <si>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</si>
  <si>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</si>
  <si>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</si>
  <si>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</si>
  <si>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</si>
  <si>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</si>
  <si>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</si>
  <si>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</si>
  <si>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</si>
  <si>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</si>
  <si>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</si>
  <si>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</si>
  <si>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</si>
  <si>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</si>
  <si>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</si>
  <si>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</si>
  <si>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</si>
  <si>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</si>
  <si>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</si>
  <si>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</si>
  <si>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</si>
  <si>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</si>
  <si>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</si>
  <si>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</si>
  <si>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</si>
  <si>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</si>
  <si>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</si>
  <si>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</si>
  <si>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</si>
  <si>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</si>
  <si>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</si>
  <si>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</si>
  <si>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</si>
  <si>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</si>
  <si>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</si>
  <si>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</si>
  <si>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</si>
  <si>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</si>
  <si>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</si>
  <si>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</si>
  <si>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</si>
  <si>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</si>
  <si>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</si>
  <si>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</si>
  <si>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</si>
  <si>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Molybdenur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</si>
  <si>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</si>
  <si>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</si>
  <si>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</si>
  <si>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</si>
  <si>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</si>
  <si>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</si>
  <si>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</si>
  <si>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</si>
  <si>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</si>
  <si>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</si>
  <si>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</si>
  <si>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</si>
  <si>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</si>
  <si>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</si>
  <si>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</si>
  <si>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</si>
  <si>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</si>
  <si>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</si>
  <si>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</si>
  <si>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</si>
  <si>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</si>
  <si>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</si>
  <si>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</si>
  <si>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</si>
  <si>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</si>
  <si>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</si>
  <si>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</si>
  <si>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</si>
  <si>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</si>
  <si>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</si>
  <si>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</si>
  <si>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</si>
  <si>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</si>
  <si>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</si>
  <si>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</si>
  <si>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</si>
  <si>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</si>
  <si>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</si>
  <si>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</si>
  <si>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</si>
  <si>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</si>
  <si>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</si>
  <si>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</si>
  <si>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</si>
  <si>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</si>
  <si>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</si>
  <si>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</si>
  <si>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</si>
  <si>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</si>
  <si>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</si>
  <si>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</si>
  <si>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</si>
  <si>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</si>
  <si>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</si>
  <si>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</si>
  <si>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</si>
  <si>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</si>
  <si>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</si>
  <si>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</si>
  <si>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</si>
  <si>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</si>
  <si>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</si>
  <si>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</si>
  <si>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</si>
  <si>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</si>
  <si>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</si>
  <si>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</si>
  <si>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</si>
  <si>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</si>
  <si>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</si>
  <si>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</si>
  <si>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</si>
  <si>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</si>
  <si>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</si>
  <si>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</si>
  <si>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</si>
  <si>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</si>
  <si>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</si>
  <si>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</si>
  <si>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</si>
  <si>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</si>
  <si>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</si>
  <si>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</si>
  <si>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</si>
  <si>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</si>
  <si>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</si>
  <si>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</si>
  <si>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</si>
  <si>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</si>
  <si>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</si>
  <si>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</si>
  <si>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</si>
  <si>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</si>
  <si>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</si>
  <si>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</si>
  <si>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</si>
  <si>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</si>
  <si>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</si>
  <si>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</si>
  <si>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</si>
  <si>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</si>
  <si>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</si>
  <si>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</si>
  <si>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</si>
  <si>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</si>
  <si>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</si>
  <si>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</si>
  <si>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</si>
  <si>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</si>
  <si>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</si>
  <si>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</si>
  <si>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</si>
  <si>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</si>
  <si>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</si>
  <si>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</si>
  <si>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</si>
  <si>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</si>
  <si>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</si>
  <si>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</si>
  <si>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</si>
  <si>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</si>
  <si>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</si>
  <si>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</si>
  <si>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</si>
  <si>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</si>
  <si>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</si>
  <si>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</si>
  <si>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</si>
  <si>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</si>
  <si>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</si>
  <si>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</si>
  <si>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</si>
  <si>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</si>
  <si>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</si>
  <si>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</si>
  <si>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</si>
  <si>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</si>
  <si>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</si>
  <si>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</si>
  <si>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</si>
  <si>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</si>
  <si>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</si>
  <si>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</si>
  <si>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</si>
  <si>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</si>
  <si>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</si>
  <si>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</si>
  <si>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</si>
  <si>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</si>
  <si>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</si>
  <si>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</si>
  <si>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</si>
  <si>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</si>
  <si>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</si>
  <si>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</si>
  <si>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</si>
  <si>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</si>
  <si>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</si>
  <si>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</si>
  <si>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</si>
  <si>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</si>
  <si>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</si>
  <si>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</si>
  <si>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</si>
  <si>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</si>
  <si>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</si>
  <si>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</si>
  <si>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</si>
  <si>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</si>
  <si>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</si>
  <si>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</si>
  <si>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</si>
  <si>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</si>
  <si>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</si>
  <si>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</si>
  <si>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</si>
  <si>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</si>
  <si>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</si>
  <si>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</si>
  <si>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</si>
  <si>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</si>
  <si>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</si>
  <si>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</si>
  <si>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</si>
  <si>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</si>
  <si>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</si>
  <si>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</si>
  <si>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</si>
  <si>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</si>
  <si>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</si>
  <si>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</si>
  <si>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</si>
  <si>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</si>
  <si>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</si>
  <si>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</si>
  <si>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</si>
  <si>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</si>
  <si>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</si>
  <si>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</si>
  <si>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</si>
  <si>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</si>
  <si>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</si>
  <si>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</si>
  <si>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</si>
  <si>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</si>
  <si>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</si>
  <si>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</si>
  <si>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</si>
  <si>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</si>
  <si>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</si>
  <si>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</si>
  <si>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</si>
  <si>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</si>
  <si>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</si>
  <si>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</si>
  <si>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</si>
  <si>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</si>
  <si>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</si>
  <si>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</si>
  <si>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</si>
  <si>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</si>
  <si>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</si>
  <si>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</si>
  <si>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</si>
  <si>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</si>
  <si>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</si>
  <si>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</si>
  <si>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</si>
  <si>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</si>
  <si>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</si>
  <si>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</si>
  <si>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</si>
  <si>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</si>
  <si>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</si>
  <si>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</si>
  <si>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</si>
  <si>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</si>
  <si>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</si>
  <si>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</si>
  <si>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</si>
  <si>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</si>
  <si>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</si>
  <si>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</si>
  <si>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</si>
  <si>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</si>
  <si>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</si>
  <si>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</si>
  <si>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</si>
  <si>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</si>
  <si>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</si>
  <si>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</si>
  <si>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</si>
  <si>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</si>
  <si>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</si>
  <si>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</si>
  <si>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</si>
  <si>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</si>
  <si>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</si>
  <si>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</si>
  <si>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</si>
  <si>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</si>
  <si>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</si>
  <si>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</si>
  <si>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</si>
  <si>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</si>
  <si>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</si>
  <si>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</si>
  <si>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</si>
  <si>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</si>
  <si>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</si>
  <si>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</si>
  <si>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</si>
  <si>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</si>
  <si>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</si>
  <si>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</si>
  <si>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</si>
  <si>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</si>
  <si>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</si>
  <si>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</si>
  <si>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</si>
  <si>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</si>
  <si>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</si>
  <si>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</si>
  <si>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</si>
  <si>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</si>
  <si>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</si>
  <si>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</si>
  <si>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</si>
  <si>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</si>
  <si>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</si>
  <si>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</si>
  <si>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</si>
  <si>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</si>
  <si>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</si>
  <si>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</si>
  <si>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</si>
  <si>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</si>
  <si>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</si>
  <si>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</si>
  <si>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</si>
  <si>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</si>
  <si>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</si>
  <si>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</si>
  <si>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</si>
  <si>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</si>
  <si>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</si>
  <si>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</si>
  <si>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</si>
  <si>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</si>
  <si>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</si>
  <si>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Volume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</si>
  <si>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</si>
  <si>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</si>
  <si>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</si>
  <si>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</si>
  <si>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</si>
  <si>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</si>
  <si>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</si>
  <si>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</si>
  <si>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</si>
  <si>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</si>
  <si>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</si>
  <si>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s1</t>
  </si>
  <si>
    <t>s2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</si>
  <si>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</si>
  <si>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</si>
  <si>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</si>
  <si>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</si>
  <si>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</si>
  <si>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</si>
  <si>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</si>
  <si>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</si>
  <si>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</si>
  <si>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</si>
  <si>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</si>
  <si>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</si>
  <si>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</si>
  <si>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</si>
  <si>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</si>
  <si>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</si>
  <si>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</si>
  <si>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</si>
  <si>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</si>
  <si>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59</t>
  </si>
  <si>
    <t>amper</t>
  </si>
  <si>
    <t>Atomic Radius</t>
  </si>
  <si>
    <t>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</si>
</sst>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2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0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1" fillId="13" borderId="3" xfId="1"/>
    <xf numFmtId="13" fontId="0" fillId="0" borderId="0" xfId="0" applyNumberForma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S10"/>
  <sheetViews>
    <sheetView zoomScale="80" zoomScaleNormal="80" workbookViewId="0">
      <selection activeCell="B2" sqref="B2"/>
    </sheetView>
  </sheetViews>
  <sheetFormatPr defaultColWidth="8.77734375" defaultRowHeight="14.4" x14ac:dyDescent="0.3"/>
  <cols>
    <col min="2" max="2" width="11.77734375" customWidth="1"/>
  </cols>
  <sheetData>
    <row r="1" spans="1:19" x14ac:dyDescent="0.3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</row>
    <row r="2" spans="1:19" ht="49.95" customHeight="1" x14ac:dyDescent="0.3">
      <c r="A2">
        <v>1</v>
      </c>
      <c r="B2" s="1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 t="s">
        <v>82</v>
      </c>
    </row>
    <row r="3" spans="1:19" ht="49.95" customHeight="1" x14ac:dyDescent="0.3">
      <c r="A3">
        <v>2</v>
      </c>
      <c r="B3" s="4" t="s">
        <v>2</v>
      </c>
      <c r="C3" s="5" t="s">
        <v>8</v>
      </c>
      <c r="D3" s="2"/>
      <c r="E3" s="2"/>
      <c r="F3" s="2"/>
      <c r="G3" s="2"/>
      <c r="H3" s="2"/>
      <c r="I3" s="2"/>
      <c r="J3" s="2"/>
      <c r="K3" s="2"/>
      <c r="L3" s="2"/>
      <c r="M3" s="2"/>
      <c r="N3" s="6" t="s">
        <v>52</v>
      </c>
      <c r="O3" s="1" t="s">
        <v>62</v>
      </c>
      <c r="P3" s="1" t="s">
        <v>63</v>
      </c>
      <c r="Q3" s="1" t="s">
        <v>70</v>
      </c>
      <c r="R3" s="1" t="s">
        <v>64</v>
      </c>
      <c r="S3" s="3" t="s">
        <v>81</v>
      </c>
    </row>
    <row r="4" spans="1:19" ht="49.95" customHeight="1" x14ac:dyDescent="0.3">
      <c r="A4">
        <v>3</v>
      </c>
      <c r="B4" s="4" t="s">
        <v>3</v>
      </c>
      <c r="C4" s="5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7" t="s">
        <v>53</v>
      </c>
      <c r="O4" s="6" t="s">
        <v>61</v>
      </c>
      <c r="P4" s="1" t="s">
        <v>64</v>
      </c>
      <c r="Q4" s="1" t="s">
        <v>64</v>
      </c>
      <c r="R4" s="1" t="s">
        <v>71</v>
      </c>
      <c r="S4" s="3" t="s">
        <v>80</v>
      </c>
    </row>
    <row r="5" spans="1:19" ht="49.95" customHeight="1" x14ac:dyDescent="0.3">
      <c r="A5">
        <v>4</v>
      </c>
      <c r="B5" s="4" t="s">
        <v>4</v>
      </c>
      <c r="C5" s="5" t="s">
        <v>10</v>
      </c>
      <c r="D5" s="8" t="s">
        <v>14</v>
      </c>
      <c r="E5" s="8" t="s">
        <v>16</v>
      </c>
      <c r="F5" s="8" t="s">
        <v>23</v>
      </c>
      <c r="G5" s="8" t="s">
        <v>24</v>
      </c>
      <c r="H5" s="8" t="s">
        <v>31</v>
      </c>
      <c r="I5" s="8" t="s">
        <v>32</v>
      </c>
      <c r="J5" s="8" t="s">
        <v>39</v>
      </c>
      <c r="K5" s="8" t="s">
        <v>40</v>
      </c>
      <c r="L5" s="8" t="s">
        <v>47</v>
      </c>
      <c r="M5" s="8" t="s">
        <v>48</v>
      </c>
      <c r="N5" s="7" t="s">
        <v>54</v>
      </c>
      <c r="O5" s="6" t="s">
        <v>60</v>
      </c>
      <c r="P5" s="6" t="s">
        <v>65</v>
      </c>
      <c r="Q5" s="1" t="s">
        <v>65</v>
      </c>
      <c r="R5" s="1" t="s">
        <v>72</v>
      </c>
      <c r="S5" s="3" t="s">
        <v>79</v>
      </c>
    </row>
    <row r="6" spans="1:19" ht="49.95" customHeight="1" x14ac:dyDescent="0.3">
      <c r="A6">
        <v>5</v>
      </c>
      <c r="B6" s="4" t="s">
        <v>5</v>
      </c>
      <c r="C6" s="5" t="s">
        <v>11</v>
      </c>
      <c r="D6" s="8" t="s">
        <v>15</v>
      </c>
      <c r="E6" s="8" t="s">
        <v>17</v>
      </c>
      <c r="F6" s="8" t="s">
        <v>22</v>
      </c>
      <c r="G6" s="8" t="s">
        <v>25</v>
      </c>
      <c r="H6" s="8" t="s">
        <v>30</v>
      </c>
      <c r="I6" s="8" t="s">
        <v>33</v>
      </c>
      <c r="J6" s="8" t="s">
        <v>38</v>
      </c>
      <c r="K6" s="8" t="s">
        <v>41</v>
      </c>
      <c r="L6" s="8" t="s">
        <v>46</v>
      </c>
      <c r="M6" s="8" t="s">
        <v>49</v>
      </c>
      <c r="N6" s="7" t="s">
        <v>55</v>
      </c>
      <c r="O6" s="7" t="s">
        <v>59</v>
      </c>
      <c r="P6" s="6" t="s">
        <v>66</v>
      </c>
      <c r="Q6" s="6" t="s">
        <v>66</v>
      </c>
      <c r="R6" s="1" t="s">
        <v>73</v>
      </c>
      <c r="S6" s="3" t="s">
        <v>78</v>
      </c>
    </row>
    <row r="7" spans="1:19" ht="49.95" customHeight="1" x14ac:dyDescent="0.3">
      <c r="A7">
        <v>6</v>
      </c>
      <c r="B7" s="4" t="s">
        <v>6</v>
      </c>
      <c r="C7" s="5" t="s">
        <v>12</v>
      </c>
      <c r="D7" s="9"/>
      <c r="E7" s="8" t="s">
        <v>18</v>
      </c>
      <c r="F7" s="8" t="s">
        <v>21</v>
      </c>
      <c r="G7" s="8" t="s">
        <v>26</v>
      </c>
      <c r="H7" s="8" t="s">
        <v>29</v>
      </c>
      <c r="I7" s="8" t="s">
        <v>34</v>
      </c>
      <c r="J7" s="8" t="s">
        <v>37</v>
      </c>
      <c r="K7" s="8" t="s">
        <v>42</v>
      </c>
      <c r="L7" s="8" t="s">
        <v>45</v>
      </c>
      <c r="M7" s="8" t="s">
        <v>50</v>
      </c>
      <c r="N7" s="7" t="s">
        <v>16</v>
      </c>
      <c r="O7" s="7" t="s">
        <v>58</v>
      </c>
      <c r="P7" s="7" t="s">
        <v>67</v>
      </c>
      <c r="Q7" s="7" t="s">
        <v>67</v>
      </c>
      <c r="R7" s="6" t="s">
        <v>74</v>
      </c>
      <c r="S7" s="3" t="s">
        <v>77</v>
      </c>
    </row>
    <row r="8" spans="1:19" ht="49.95" customHeight="1" x14ac:dyDescent="0.3">
      <c r="A8">
        <v>7</v>
      </c>
      <c r="B8" s="4" t="s">
        <v>7</v>
      </c>
      <c r="C8" s="5" t="s">
        <v>13</v>
      </c>
      <c r="D8" s="10"/>
      <c r="E8" s="8" t="s">
        <v>19</v>
      </c>
      <c r="F8" s="8" t="s">
        <v>20</v>
      </c>
      <c r="G8" s="8" t="s">
        <v>27</v>
      </c>
      <c r="H8" s="8" t="s">
        <v>28</v>
      </c>
      <c r="I8" s="8" t="s">
        <v>35</v>
      </c>
      <c r="J8" s="11" t="s">
        <v>36</v>
      </c>
      <c r="K8" s="11" t="s">
        <v>43</v>
      </c>
      <c r="L8" s="11" t="s">
        <v>44</v>
      </c>
      <c r="M8" s="8" t="s">
        <v>51</v>
      </c>
      <c r="N8" s="11" t="s">
        <v>56</v>
      </c>
      <c r="O8" s="7" t="s">
        <v>57</v>
      </c>
      <c r="P8" s="11" t="s">
        <v>68</v>
      </c>
      <c r="Q8" s="11" t="s">
        <v>69</v>
      </c>
      <c r="R8" s="11" t="s">
        <v>75</v>
      </c>
      <c r="S8" s="11" t="s">
        <v>76</v>
      </c>
    </row>
    <row r="9" spans="1:19" x14ac:dyDescent="0.3">
      <c r="A9">
        <v>6</v>
      </c>
      <c r="B9" s="12"/>
      <c r="C9" s="12"/>
      <c r="D9" s="9" t="s">
        <v>83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9" t="s">
        <v>97</v>
      </c>
      <c r="R9" s="13" t="s">
        <v>98</v>
      </c>
      <c r="S9" s="12"/>
    </row>
    <row r="10" spans="1:19" x14ac:dyDescent="0.3">
      <c r="A10">
        <v>7</v>
      </c>
      <c r="B10" s="12"/>
      <c r="C10" s="12"/>
      <c r="D10" s="14" t="s">
        <v>84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4" t="s">
        <v>112</v>
      </c>
      <c r="S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W130"/>
  <sheetViews>
    <sheetView tabSelected="1" topLeftCell="E1" workbookViewId="0">
      <selection activeCell="W1" sqref="W1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18" customWidth="1"/>
    <col min="6" max="6" width="16.109375" customWidth="1"/>
    <col min="7" max="7" width="14.44140625" customWidth="1"/>
    <col min="8" max="9" width="17.33203125" customWidth="1"/>
    <col min="10" max="10" width="12.6640625" customWidth="1"/>
    <col min="11" max="11" width="21.109375" customWidth="1"/>
    <col min="12" max="12" width="11.77734375" style="15" customWidth="1"/>
    <col min="13" max="13" width="8.77734375" style="19"/>
    <col min="21" max="21" width="8.77734375" customWidth="1"/>
  </cols>
  <sheetData>
    <row r="1" spans="1:16" x14ac:dyDescent="0.3">
      <c r="A1">
        <v>1</v>
      </c>
      <c r="B1" t="s">
        <v>113</v>
      </c>
      <c r="C1" t="s">
        <v>1</v>
      </c>
      <c r="D1" t="s">
        <v>235</v>
      </c>
      <c r="E1" s="18">
        <v>1</v>
      </c>
      <c r="F1">
        <v>0</v>
      </c>
      <c r="G1">
        <v>1.008</v>
      </c>
      <c r="H1">
        <f>(G1-(A1*'Atomic Particles'!C1))/'Atomic Particles'!C2+A1</f>
        <v>1.0007165767814636</v>
      </c>
      <c r="J1">
        <f>(('Atomic Particles'!C1)*A1)+(('Atomic Particles'!C2)*Elements!F1)</f>
        <v>1.0072772134220349</v>
      </c>
      <c r="K1" s="17">
        <f>(E1^(1/3))*Constants!B2</f>
        <v>1.25E-15</v>
      </c>
      <c r="L1" s="15">
        <v>1</v>
      </c>
      <c r="M1" s="19">
        <v>1</v>
      </c>
      <c r="P1">
        <f>(N1*Constants!B1*T1)</f>
        <v>0</v>
      </c>
    </row>
    <row r="2" spans="1:16" x14ac:dyDescent="0.3">
      <c r="A2">
        <v>2</v>
      </c>
      <c r="B2" t="s">
        <v>114</v>
      </c>
      <c r="C2" t="s">
        <v>82</v>
      </c>
      <c r="D2" t="s">
        <v>236</v>
      </c>
      <c r="E2" s="18">
        <v>4</v>
      </c>
      <c r="F2">
        <f>E2-A2</f>
        <v>2</v>
      </c>
      <c r="G2">
        <v>4.0026000000000002</v>
      </c>
      <c r="H2">
        <f>(G2-(A2*'Atomic Particles'!C1))/'Atomic Particles'!C2+A2</f>
        <v>3.9709653466806065</v>
      </c>
      <c r="J2">
        <f>(('Atomic Particles'!C1)*A2)+(('Atomic Particles'!C2)*Elements!F2)</f>
        <v>4.0318862652795753</v>
      </c>
      <c r="K2" s="17">
        <f>(E2^(1/3))*Constants!B2</f>
        <v>1.9842513149602493E-15</v>
      </c>
      <c r="L2" s="15">
        <v>2</v>
      </c>
      <c r="M2" s="19">
        <v>1</v>
      </c>
    </row>
    <row r="3" spans="1:16" x14ac:dyDescent="0.3">
      <c r="A3">
        <v>3</v>
      </c>
      <c r="B3" t="s">
        <v>115</v>
      </c>
      <c r="C3" t="s">
        <v>2</v>
      </c>
      <c r="D3" t="s">
        <v>237</v>
      </c>
      <c r="E3" s="18">
        <v>7</v>
      </c>
      <c r="F3">
        <f t="shared" ref="F3:F64" si="0">E3-A3</f>
        <v>4</v>
      </c>
      <c r="G3">
        <v>6.94</v>
      </c>
      <c r="H3">
        <f>(G3-(A3*'Atomic Particles'!C1))/'Atomic Particles'!C2+A3</f>
        <v>6.8845055484501145</v>
      </c>
      <c r="J3">
        <f>(('Atomic Particles'!C1)*A3)+(('Atomic Particles'!C2)*Elements!F3)</f>
        <v>7.0564953171371156</v>
      </c>
      <c r="K3" s="17">
        <f>(E3^(1/3))*Constants!B2</f>
        <v>2.3911639784654861E-15</v>
      </c>
      <c r="L3" s="15">
        <v>3</v>
      </c>
      <c r="M3" s="19">
        <v>2</v>
      </c>
    </row>
    <row r="4" spans="1:16" x14ac:dyDescent="0.3">
      <c r="A4">
        <v>4</v>
      </c>
      <c r="B4" t="s">
        <v>116</v>
      </c>
      <c r="C4" t="s">
        <v>8</v>
      </c>
      <c r="D4" t="s">
        <v>238</v>
      </c>
      <c r="E4" s="18">
        <v>9</v>
      </c>
      <c r="F4">
        <f t="shared" si="0"/>
        <v>5</v>
      </c>
      <c r="G4">
        <v>9.0123300000000004</v>
      </c>
      <c r="H4">
        <f>(G4-(A4*'Atomic Particles'!C1))/'Atomic Particles'!C2+A4</f>
        <v>8.9404079699416048</v>
      </c>
      <c r="J4">
        <f>(('Atomic Particles'!C1)*A4)+(('Atomic Particles'!C2)*Elements!F4)</f>
        <v>9.0724384497769037</v>
      </c>
      <c r="K4" s="17">
        <f>(E4^(1/3))*Constants!B2</f>
        <v>2.6001047788148802E-15</v>
      </c>
      <c r="L4" s="15">
        <v>4</v>
      </c>
      <c r="M4" s="19">
        <v>2</v>
      </c>
    </row>
    <row r="5" spans="1:16" x14ac:dyDescent="0.3">
      <c r="A5">
        <v>5</v>
      </c>
      <c r="B5" t="s">
        <v>117</v>
      </c>
      <c r="C5" t="s">
        <v>52</v>
      </c>
      <c r="D5" t="s">
        <v>239</v>
      </c>
      <c r="E5" s="18">
        <v>10</v>
      </c>
      <c r="F5">
        <f t="shared" si="0"/>
        <v>5</v>
      </c>
      <c r="G5">
        <v>10.81</v>
      </c>
      <c r="H5">
        <f>(G5-(A5*'Atomic Particles'!C1))/'Atomic Particles'!C2+A5</f>
        <v>10.724010123557477</v>
      </c>
      <c r="J5">
        <f>(('Atomic Particles'!C1)*A5)+(('Atomic Particles'!C2)*Elements!F5)</f>
        <v>10.07971566319894</v>
      </c>
      <c r="K5" s="17">
        <f>(E5^(1/3))*Constants!B2</f>
        <v>2.6930433625398547E-15</v>
      </c>
      <c r="L5" s="15">
        <v>5</v>
      </c>
      <c r="M5" s="19">
        <v>2</v>
      </c>
    </row>
    <row r="6" spans="1:16" x14ac:dyDescent="0.3">
      <c r="A6">
        <v>6</v>
      </c>
      <c r="B6" t="s">
        <v>118</v>
      </c>
      <c r="C6" t="s">
        <v>62</v>
      </c>
      <c r="D6" t="s">
        <v>235</v>
      </c>
      <c r="E6" s="18">
        <v>12</v>
      </c>
      <c r="F6">
        <f t="shared" si="0"/>
        <v>6</v>
      </c>
      <c r="G6">
        <v>12.010999999999999</v>
      </c>
      <c r="H6">
        <f>(G6-(A6*'Atomic Particles'!C1))/'Atomic Particles'!C2+A6</f>
        <v>11.91606854734977</v>
      </c>
      <c r="J6">
        <f>(('Atomic Particles'!C1)*A6)+(('Atomic Particles'!C2)*Elements!F6)</f>
        <v>12.095658795838727</v>
      </c>
      <c r="K6" s="17">
        <f>(E6^(1/3))*Constants!B2</f>
        <v>2.8617856063833298E-15</v>
      </c>
      <c r="L6" s="15">
        <v>6</v>
      </c>
      <c r="M6" s="19">
        <v>2</v>
      </c>
    </row>
    <row r="7" spans="1:16" x14ac:dyDescent="0.3">
      <c r="A7">
        <v>7</v>
      </c>
      <c r="B7" t="s">
        <v>119</v>
      </c>
      <c r="C7" t="s">
        <v>63</v>
      </c>
      <c r="D7" t="s">
        <v>235</v>
      </c>
      <c r="E7" s="18">
        <v>14</v>
      </c>
      <c r="F7">
        <f t="shared" si="0"/>
        <v>7</v>
      </c>
      <c r="G7">
        <v>14.007</v>
      </c>
      <c r="H7">
        <f>(G7-(A7*'Atomic Particles'!C1))/'Atomic Particles'!C2+A7</f>
        <v>13.896296755461279</v>
      </c>
      <c r="J7">
        <f>(('Atomic Particles'!C1)*A7)+(('Atomic Particles'!C2)*Elements!F7)</f>
        <v>14.111601928478514</v>
      </c>
      <c r="K7" s="17">
        <f>(E7^(1/3))*Constants!B2</f>
        <v>3.012677830219037E-15</v>
      </c>
      <c r="L7" s="15">
        <v>7</v>
      </c>
      <c r="M7" s="19">
        <v>2</v>
      </c>
    </row>
    <row r="8" spans="1:16" x14ac:dyDescent="0.3">
      <c r="A8">
        <v>8</v>
      </c>
      <c r="B8" t="s">
        <v>120</v>
      </c>
      <c r="C8" t="s">
        <v>70</v>
      </c>
      <c r="D8" t="s">
        <v>235</v>
      </c>
      <c r="E8" s="18">
        <v>16</v>
      </c>
      <c r="F8">
        <f t="shared" si="0"/>
        <v>8</v>
      </c>
      <c r="G8">
        <v>15.999000000000001</v>
      </c>
      <c r="H8">
        <f>(G8-(A8*'Atomic Particles'!C1))/'Atomic Particles'!C2+A8</f>
        <v>15.872559329437848</v>
      </c>
      <c r="J8">
        <f>(('Atomic Particles'!C1)*A8)+(('Atomic Particles'!C2)*Elements!F8)</f>
        <v>16.127545061118301</v>
      </c>
      <c r="K8" s="17">
        <f>(E8^(1/3))*Constants!B2</f>
        <v>3.1498026247371823E-15</v>
      </c>
      <c r="L8" s="15">
        <v>8</v>
      </c>
      <c r="M8" s="19">
        <v>2</v>
      </c>
    </row>
    <row r="9" spans="1:16" x14ac:dyDescent="0.3">
      <c r="A9">
        <v>9</v>
      </c>
      <c r="B9" t="s">
        <v>121</v>
      </c>
      <c r="C9" t="s">
        <v>228</v>
      </c>
      <c r="D9" t="s">
        <v>240</v>
      </c>
      <c r="E9" s="18">
        <v>19</v>
      </c>
      <c r="F9">
        <f t="shared" si="0"/>
        <v>10</v>
      </c>
      <c r="G9">
        <v>18.998000000000001</v>
      </c>
      <c r="H9">
        <f>(G9-(A9*'Atomic Particles'!C1))/'Atomic Particles'!C2+A9</f>
        <v>18.847170296885423</v>
      </c>
      <c r="J9">
        <f>(('Atomic Particles'!C1)*A9)+(('Atomic Particles'!C2)*Elements!F9)</f>
        <v>19.152154112975843</v>
      </c>
      <c r="K9" s="17">
        <f>(E9^(1/3))*Constants!B2</f>
        <v>3.3355020609024303E-15</v>
      </c>
      <c r="L9" s="15">
        <v>9</v>
      </c>
      <c r="M9" s="19">
        <v>2</v>
      </c>
    </row>
    <row r="10" spans="1:16" x14ac:dyDescent="0.3">
      <c r="A10">
        <v>10</v>
      </c>
      <c r="B10" t="s">
        <v>122</v>
      </c>
      <c r="C10" t="s">
        <v>81</v>
      </c>
      <c r="D10" t="s">
        <v>236</v>
      </c>
      <c r="E10" s="18">
        <v>20</v>
      </c>
      <c r="F10">
        <f t="shared" si="0"/>
        <v>10</v>
      </c>
      <c r="G10">
        <v>20.18</v>
      </c>
      <c r="H10">
        <f>(G10-(A10*'Atomic Particles'!C1))/'Atomic Particles'!C2+A10</f>
        <v>20.020391958536752</v>
      </c>
      <c r="J10">
        <f>(('Atomic Particles'!C1)*A10)+(('Atomic Particles'!C2)*Elements!F10)</f>
        <v>20.159431326397879</v>
      </c>
      <c r="K10" s="17">
        <f>(E10^(1/3))*Constants!B2</f>
        <v>3.3930220207436328E-15</v>
      </c>
      <c r="L10" s="15">
        <v>10</v>
      </c>
      <c r="M10" s="19">
        <v>2</v>
      </c>
    </row>
    <row r="11" spans="1:16" x14ac:dyDescent="0.3">
      <c r="A11">
        <v>11</v>
      </c>
      <c r="B11" t="s">
        <v>123</v>
      </c>
      <c r="C11" t="s">
        <v>3</v>
      </c>
      <c r="D11" t="s">
        <v>237</v>
      </c>
      <c r="E11" s="18">
        <v>23</v>
      </c>
      <c r="F11">
        <f t="shared" si="0"/>
        <v>12</v>
      </c>
      <c r="G11">
        <v>22.99</v>
      </c>
      <c r="H11">
        <f>(G11-(A11*'Atomic Particles'!C1))/'Atomic Particles'!C2+A11</f>
        <v>22.807626713108441</v>
      </c>
      <c r="J11">
        <f>(('Atomic Particles'!C1)*A11)+(('Atomic Particles'!C2)*Elements!F11)</f>
        <v>23.184040378255418</v>
      </c>
      <c r="K11" s="17">
        <f>(E11^(1/3))*Constants!B2</f>
        <v>3.5548337248144571E-15</v>
      </c>
      <c r="L11" s="15">
        <v>11</v>
      </c>
      <c r="M11" s="19">
        <v>3</v>
      </c>
    </row>
    <row r="12" spans="1:16" x14ac:dyDescent="0.3">
      <c r="A12">
        <v>12</v>
      </c>
      <c r="B12" t="s">
        <v>124</v>
      </c>
      <c r="C12" t="s">
        <v>9</v>
      </c>
      <c r="D12" t="s">
        <v>238</v>
      </c>
      <c r="E12" s="18">
        <v>24</v>
      </c>
      <c r="F12">
        <f t="shared" si="0"/>
        <v>12</v>
      </c>
      <c r="G12">
        <v>24.305</v>
      </c>
      <c r="H12">
        <f>(G12-(A12*'Atomic Particles'!C1))/'Atomic Particles'!C2+A12</f>
        <v>24.112705709746507</v>
      </c>
      <c r="J12">
        <f>(('Atomic Particles'!C1)*A12)+(('Atomic Particles'!C2)*Elements!F12)</f>
        <v>24.191317591677453</v>
      </c>
      <c r="K12" s="17">
        <f>(E12^(1/3))*Constants!B2</f>
        <v>3.6056239257685206E-15</v>
      </c>
      <c r="L12" s="15">
        <v>12</v>
      </c>
      <c r="M12" s="19">
        <v>3</v>
      </c>
    </row>
    <row r="13" spans="1:16" x14ac:dyDescent="0.3">
      <c r="A13">
        <v>13</v>
      </c>
      <c r="B13" t="s">
        <v>125</v>
      </c>
      <c r="C13" t="s">
        <v>53</v>
      </c>
      <c r="D13" t="s">
        <v>241</v>
      </c>
      <c r="E13" s="18">
        <v>27</v>
      </c>
      <c r="F13">
        <f t="shared" si="0"/>
        <v>14</v>
      </c>
      <c r="G13">
        <v>26.981999999999999</v>
      </c>
      <c r="H13">
        <f>(G13-(A13*'Atomic Particles'!C1))/'Atomic Particles'!C2+A13</f>
        <v>26.768083129331455</v>
      </c>
      <c r="J13">
        <f>(('Atomic Particles'!C1)*A13)+(('Atomic Particles'!C2)*Elements!F13)</f>
        <v>27.215926643534992</v>
      </c>
      <c r="K13" s="17">
        <f>(E13^(1/3))*Constants!B2</f>
        <v>3.7499999999999998E-15</v>
      </c>
      <c r="L13" s="15">
        <v>13</v>
      </c>
      <c r="M13" s="19">
        <v>3</v>
      </c>
    </row>
    <row r="14" spans="1:16" x14ac:dyDescent="0.3">
      <c r="A14">
        <v>14</v>
      </c>
      <c r="B14" t="s">
        <v>126</v>
      </c>
      <c r="C14" t="s">
        <v>61</v>
      </c>
      <c r="D14" t="s">
        <v>239</v>
      </c>
      <c r="E14" s="18">
        <v>28</v>
      </c>
      <c r="F14">
        <f t="shared" si="0"/>
        <v>14</v>
      </c>
      <c r="G14">
        <v>28.085000000000001</v>
      </c>
      <c r="H14">
        <f>(G14-(A14*'Atomic Particles'!C1))/'Atomic Particles'!C2+A14</f>
        <v>27.862983516817732</v>
      </c>
      <c r="J14">
        <f>(('Atomic Particles'!C1)*A14)+(('Atomic Particles'!C2)*Elements!F14)</f>
        <v>28.223203856957028</v>
      </c>
      <c r="K14" s="17">
        <f>(E14^(1/3))*Constants!B2</f>
        <v>3.7957362148445774E-15</v>
      </c>
      <c r="L14" s="15">
        <v>14</v>
      </c>
      <c r="M14" s="19">
        <v>3</v>
      </c>
    </row>
    <row r="15" spans="1:16" x14ac:dyDescent="0.3">
      <c r="A15">
        <v>15</v>
      </c>
      <c r="B15" t="s">
        <v>127</v>
      </c>
      <c r="C15" t="s">
        <v>64</v>
      </c>
      <c r="D15" t="s">
        <v>235</v>
      </c>
      <c r="E15" s="18">
        <v>31</v>
      </c>
      <c r="F15">
        <f t="shared" si="0"/>
        <v>16</v>
      </c>
      <c r="G15">
        <v>30.974</v>
      </c>
      <c r="H15">
        <f>(G15-(A15*'Atomic Particles'!C1))/'Atomic Particles'!C2+A15</f>
        <v>30.728539545554472</v>
      </c>
      <c r="J15">
        <f>(('Atomic Particles'!C1)*A15)+(('Atomic Particles'!C2)*Elements!F15)</f>
        <v>31.247812908814566</v>
      </c>
      <c r="K15" s="17">
        <f>(E15^(1/3))*Constants!B2</f>
        <v>3.9267258154892411E-15</v>
      </c>
      <c r="L15" s="15">
        <v>15</v>
      </c>
      <c r="M15" s="19">
        <v>3</v>
      </c>
    </row>
    <row r="16" spans="1:16" x14ac:dyDescent="0.3">
      <c r="A16">
        <v>16</v>
      </c>
      <c r="B16" t="s">
        <v>128</v>
      </c>
      <c r="C16" t="s">
        <v>229</v>
      </c>
      <c r="D16" t="s">
        <v>235</v>
      </c>
      <c r="E16" s="18">
        <v>32</v>
      </c>
      <c r="F16">
        <f t="shared" si="0"/>
        <v>16</v>
      </c>
      <c r="G16">
        <v>32.06</v>
      </c>
      <c r="H16">
        <f>(G16-(A16*'Atomic Particles'!C1))/'Atomic Particles'!C2+A16</f>
        <v>31.806585987967257</v>
      </c>
      <c r="J16">
        <f>(('Atomic Particles'!C1)*A16)+(('Atomic Particles'!C2)*Elements!F16)</f>
        <v>32.255090122236602</v>
      </c>
      <c r="K16" s="17">
        <f>(E16^(1/3))*Constants!B2</f>
        <v>3.9685026299204986E-15</v>
      </c>
      <c r="L16" s="15">
        <v>16</v>
      </c>
      <c r="M16" s="19">
        <v>3</v>
      </c>
    </row>
    <row r="17" spans="1:13" x14ac:dyDescent="0.3">
      <c r="A17">
        <v>17</v>
      </c>
      <c r="B17" t="s">
        <v>129</v>
      </c>
      <c r="C17" t="s">
        <v>71</v>
      </c>
      <c r="D17" t="s">
        <v>240</v>
      </c>
      <c r="E17" s="18">
        <v>37</v>
      </c>
      <c r="F17">
        <f t="shared" si="0"/>
        <v>20</v>
      </c>
      <c r="G17">
        <v>35.450000000000003</v>
      </c>
      <c r="H17">
        <f>(G17-(A17*'Atomic Particles'!C1))/'Atomic Particles'!C2+A17</f>
        <v>35.168837692105164</v>
      </c>
      <c r="J17">
        <f>(('Atomic Particles'!C1)*A17)+(('Atomic Particles'!C2)*Elements!F17)</f>
        <v>37.297031012529651</v>
      </c>
      <c r="K17" s="17">
        <f>(E17^(1/3))*Constants!B2</f>
        <v>4.1652773145574406E-15</v>
      </c>
      <c r="L17" s="15">
        <v>17</v>
      </c>
      <c r="M17" s="19">
        <v>3</v>
      </c>
    </row>
    <row r="18" spans="1:13" x14ac:dyDescent="0.3">
      <c r="A18">
        <v>18</v>
      </c>
      <c r="B18" t="s">
        <v>130</v>
      </c>
      <c r="C18" t="s">
        <v>80</v>
      </c>
      <c r="D18" t="s">
        <v>236</v>
      </c>
      <c r="E18" s="18">
        <v>38</v>
      </c>
      <c r="F18">
        <f t="shared" si="0"/>
        <v>20</v>
      </c>
      <c r="G18">
        <v>39.948</v>
      </c>
      <c r="H18">
        <f>(G18-(A18*'Atomic Particles'!C1))/'Atomic Particles'!C2+A18</f>
        <v>39.6295700516213</v>
      </c>
      <c r="J18">
        <f>(('Atomic Particles'!C1)*A18)+(('Atomic Particles'!C2)*Elements!F18)</f>
        <v>38.304308225951686</v>
      </c>
      <c r="K18" s="17">
        <f>(E18^(1/3))*Constants!B2</f>
        <v>4.202469258498703E-15</v>
      </c>
      <c r="L18" s="15">
        <v>18</v>
      </c>
      <c r="M18" s="19">
        <v>3</v>
      </c>
    </row>
    <row r="19" spans="1:13" x14ac:dyDescent="0.3">
      <c r="A19">
        <v>19</v>
      </c>
      <c r="B19" t="s">
        <v>131</v>
      </c>
      <c r="C19" t="s">
        <v>4</v>
      </c>
      <c r="D19" t="s">
        <v>237</v>
      </c>
      <c r="E19" s="18">
        <v>39</v>
      </c>
      <c r="F19">
        <f t="shared" si="0"/>
        <v>20</v>
      </c>
      <c r="G19">
        <v>39.097999999999999</v>
      </c>
      <c r="H19">
        <f>(G19-(A19*'Atomic Particles'!C1))/'Atomic Particles'!C2+A19</f>
        <v>38.788249572723387</v>
      </c>
      <c r="J19">
        <f>(('Atomic Particles'!C1)*A19)+(('Atomic Particles'!C2)*Elements!F19)</f>
        <v>39.311585439373715</v>
      </c>
      <c r="K19" s="17">
        <f>(E19^(1/3))*Constants!B2</f>
        <v>4.2390143037677072E-15</v>
      </c>
      <c r="L19" s="15">
        <v>19</v>
      </c>
      <c r="M19" s="19">
        <v>4</v>
      </c>
    </row>
    <row r="20" spans="1:13" x14ac:dyDescent="0.3">
      <c r="A20">
        <v>20</v>
      </c>
      <c r="B20" t="s">
        <v>132</v>
      </c>
      <c r="C20" t="s">
        <v>10</v>
      </c>
      <c r="D20" t="s">
        <v>238</v>
      </c>
      <c r="E20" s="18">
        <v>42</v>
      </c>
      <c r="F20">
        <f t="shared" si="0"/>
        <v>22</v>
      </c>
      <c r="G20">
        <v>40.078000000000003</v>
      </c>
      <c r="H20">
        <f>(G20-(A20*'Atomic Particles'!C1))/'Atomic Particles'!C2+A20</f>
        <v>39.761206710560273</v>
      </c>
      <c r="J20">
        <f>(('Atomic Particles'!C1)*A20)+(('Atomic Particles'!C2)*Elements!F20)</f>
        <v>42.336194491231254</v>
      </c>
      <c r="K20" s="17">
        <f>(E20^(1/3))*Constants!B2</f>
        <v>4.3450333061080621E-15</v>
      </c>
      <c r="L20" s="15">
        <v>20</v>
      </c>
      <c r="M20" s="19">
        <v>4</v>
      </c>
    </row>
    <row r="21" spans="1:13" x14ac:dyDescent="0.3">
      <c r="A21">
        <v>21</v>
      </c>
      <c r="B21" t="s">
        <v>133</v>
      </c>
      <c r="C21" t="s">
        <v>14</v>
      </c>
      <c r="D21" t="s">
        <v>242</v>
      </c>
      <c r="E21" s="18">
        <v>45</v>
      </c>
      <c r="F21">
        <f t="shared" si="0"/>
        <v>24</v>
      </c>
      <c r="G21">
        <v>44.956000000000003</v>
      </c>
      <c r="H21">
        <f>(G21-(A21*'Atomic Particles'!C1))/'Atomic Particles'!C2+A21</f>
        <v>44.59867431289566</v>
      </c>
      <c r="J21">
        <f>(('Atomic Particles'!C1)*A21)+(('Atomic Particles'!C2)*Elements!F21)</f>
        <v>45.360803543088799</v>
      </c>
      <c r="K21" s="17">
        <f>(E21^(1/3))*Constants!B2</f>
        <v>4.4461166306125785E-15</v>
      </c>
      <c r="L21" s="15">
        <v>21</v>
      </c>
      <c r="M21" s="19">
        <v>3</v>
      </c>
    </row>
    <row r="22" spans="1:13" x14ac:dyDescent="0.3">
      <c r="A22">
        <v>22</v>
      </c>
      <c r="B22" t="s">
        <v>134</v>
      </c>
      <c r="C22" t="s">
        <v>16</v>
      </c>
      <c r="D22" t="s">
        <v>242</v>
      </c>
      <c r="E22" s="18">
        <v>49</v>
      </c>
      <c r="F22">
        <f t="shared" si="0"/>
        <v>27</v>
      </c>
      <c r="G22">
        <v>47.866999999999997</v>
      </c>
      <c r="H22">
        <f>(G22-(A22*'Atomic Particles'!C1))/'Atomic Particles'!C2+A22</f>
        <v>47.486041329374565</v>
      </c>
      <c r="J22">
        <f>(('Atomic Particles'!C1)*A22)+(('Atomic Particles'!C2)*Elements!F22)</f>
        <v>49.394078514164093</v>
      </c>
      <c r="K22" s="17">
        <f>(E22^(1/3))*Constants!B2</f>
        <v>4.5741321375287138E-15</v>
      </c>
      <c r="L22" s="15">
        <v>22</v>
      </c>
      <c r="M22" s="19">
        <v>3</v>
      </c>
    </row>
    <row r="23" spans="1:13" x14ac:dyDescent="0.3">
      <c r="A23">
        <v>23</v>
      </c>
      <c r="B23" t="s">
        <v>135</v>
      </c>
      <c r="C23" t="s">
        <v>23</v>
      </c>
      <c r="D23" t="s">
        <v>242</v>
      </c>
      <c r="E23" s="18">
        <v>51</v>
      </c>
      <c r="F23">
        <f t="shared" si="0"/>
        <v>28</v>
      </c>
      <c r="G23">
        <v>50.942</v>
      </c>
      <c r="H23">
        <f>(G23-(A23*'Atomic Particles'!C1))/'Atomic Particles'!C2+A23</f>
        <v>50.535999345385989</v>
      </c>
      <c r="J23">
        <f>(('Atomic Particles'!C23)*A1)+(('Atomic Particles'!C2)*Elements!F23)</f>
        <v>28.242645738097075</v>
      </c>
      <c r="K23" s="17">
        <f>(E23^(1/3))*Constants!B2</f>
        <v>4.6355372115827367E-15</v>
      </c>
      <c r="L23" s="15">
        <v>23</v>
      </c>
      <c r="M23" s="19">
        <v>3</v>
      </c>
    </row>
    <row r="24" spans="1:13" x14ac:dyDescent="0.3">
      <c r="A24">
        <v>24</v>
      </c>
      <c r="B24" t="s">
        <v>136</v>
      </c>
      <c r="C24" t="s">
        <v>24</v>
      </c>
      <c r="D24" t="s">
        <v>242</v>
      </c>
      <c r="E24" s="18">
        <v>52</v>
      </c>
      <c r="F24">
        <f t="shared" si="0"/>
        <v>28</v>
      </c>
      <c r="G24">
        <v>51.996000000000002</v>
      </c>
      <c r="H24">
        <f>(G24-(A24*'Atomic Particles'!C1))/'Atomic Particles'!C2+A24</f>
        <v>51.582320714719259</v>
      </c>
      <c r="J24">
        <f>(('Atomic Particles'!C1)*A24)+(('Atomic Particles'!C2)*Elements!F24)</f>
        <v>52.417298860225912</v>
      </c>
      <c r="K24" s="17">
        <f>(E24^(1/3))*Constants!B2</f>
        <v>4.6656389460215607E-15</v>
      </c>
      <c r="L24" s="15">
        <v>24</v>
      </c>
      <c r="M24" s="19">
        <v>3</v>
      </c>
    </row>
    <row r="25" spans="1:13" x14ac:dyDescent="0.3">
      <c r="A25">
        <v>25</v>
      </c>
      <c r="B25" t="s">
        <v>137</v>
      </c>
      <c r="C25" t="s">
        <v>31</v>
      </c>
      <c r="D25" t="s">
        <v>242</v>
      </c>
      <c r="E25" s="18">
        <v>55</v>
      </c>
      <c r="F25">
        <f t="shared" si="0"/>
        <v>30</v>
      </c>
      <c r="G25">
        <v>54.938000000000002</v>
      </c>
      <c r="H25">
        <f>(G25-(A25*'Atomic Particles'!C1))/'Atomic Particles'!C2+A25</f>
        <v>54.500421395743949</v>
      </c>
      <c r="J25">
        <f>(('Atomic Particles'!C1)*A25)+(('Atomic Particles'!C2)*Elements!F25)</f>
        <v>55.441907912083451</v>
      </c>
      <c r="K25" s="17">
        <f>(E25^(1/3))*Constants!B2</f>
        <v>4.7536905759517394E-15</v>
      </c>
      <c r="L25" s="15">
        <v>25</v>
      </c>
      <c r="M25" s="19">
        <v>3</v>
      </c>
    </row>
    <row r="26" spans="1:13" x14ac:dyDescent="0.3">
      <c r="A26">
        <v>26</v>
      </c>
      <c r="B26" t="s">
        <v>138</v>
      </c>
      <c r="C26" t="s">
        <v>32</v>
      </c>
      <c r="D26" t="s">
        <v>242</v>
      </c>
      <c r="E26" s="18">
        <v>56</v>
      </c>
      <c r="F26">
        <f t="shared" si="0"/>
        <v>30</v>
      </c>
      <c r="G26">
        <v>55.844999999999999</v>
      </c>
      <c r="H26">
        <f>(G26-(A26*'Atomic Particles'!C1))/'Atomic Particles'!C2+A26</f>
        <v>55.401005710618186</v>
      </c>
      <c r="J26">
        <f>(('Atomic Particles'!C1)*A26)+(('Atomic Particles'!C2)*Elements!F26)</f>
        <v>56.449185125505494</v>
      </c>
      <c r="K26" s="17">
        <f>(E26^(1/3))*Constants!B2</f>
        <v>4.7823279569309731E-15</v>
      </c>
      <c r="L26" s="15">
        <v>26</v>
      </c>
      <c r="M26" s="19">
        <v>3</v>
      </c>
    </row>
    <row r="27" spans="1:13" x14ac:dyDescent="0.3">
      <c r="A27">
        <v>27</v>
      </c>
      <c r="B27" t="s">
        <v>139</v>
      </c>
      <c r="C27" t="s">
        <v>39</v>
      </c>
      <c r="D27" t="s">
        <v>242</v>
      </c>
      <c r="E27" s="18">
        <v>59</v>
      </c>
      <c r="F27">
        <f t="shared" si="0"/>
        <v>32</v>
      </c>
      <c r="G27">
        <v>58.933</v>
      </c>
      <c r="H27">
        <f>(G27-(A27*'Atomic Particles'!C1))/'Atomic Particles'!C2+A27</f>
        <v>58.463852037568167</v>
      </c>
      <c r="J27">
        <f>(('Atomic Particles'!C1)*A27)+(('Atomic Particles'!C2)*Elements!F27)</f>
        <v>59.473794177363033</v>
      </c>
      <c r="K27" s="17">
        <f>(E27^(1/3))*Constants!B2</f>
        <v>4.8662455198415752E-15</v>
      </c>
      <c r="L27" s="15">
        <v>27</v>
      </c>
      <c r="M27" s="19">
        <v>3</v>
      </c>
    </row>
    <row r="28" spans="1:13" x14ac:dyDescent="0.3">
      <c r="A28">
        <v>28</v>
      </c>
      <c r="B28" t="s">
        <v>140</v>
      </c>
      <c r="C28" t="s">
        <v>40</v>
      </c>
      <c r="D28" t="s">
        <v>242</v>
      </c>
      <c r="E28" s="18">
        <v>60</v>
      </c>
      <c r="F28">
        <f t="shared" si="0"/>
        <v>32</v>
      </c>
      <c r="G28">
        <v>58.692999999999998</v>
      </c>
      <c r="H28">
        <f>(G28-(A28*'Atomic Particles'!C1))/'Atomic Particles'!C2+A28</f>
        <v>58.227290764248522</v>
      </c>
      <c r="J28">
        <f>(('Atomic Particles'!C1)*A28)+(('Atomic Particles'!C2)*Elements!F28)</f>
        <v>60.481071390785061</v>
      </c>
      <c r="K28" s="17">
        <f>(E28^(1/3))*Constants!B2</f>
        <v>4.8935845514610794E-15</v>
      </c>
      <c r="L28" s="15">
        <v>28</v>
      </c>
      <c r="M28" s="19">
        <v>3</v>
      </c>
    </row>
    <row r="29" spans="1:13" x14ac:dyDescent="0.3">
      <c r="A29">
        <v>29</v>
      </c>
      <c r="B29" t="s">
        <v>141</v>
      </c>
      <c r="C29" t="s">
        <v>47</v>
      </c>
      <c r="D29" t="s">
        <v>242</v>
      </c>
      <c r="E29" s="18">
        <v>63</v>
      </c>
      <c r="F29">
        <f t="shared" si="0"/>
        <v>34</v>
      </c>
      <c r="G29">
        <v>63.545999999999999</v>
      </c>
      <c r="H29">
        <f>(G29-(A29*'Atomic Particles'!C1))/'Atomic Particles'!C2+A29</f>
        <v>63.039973153240538</v>
      </c>
      <c r="J29">
        <f>(('Atomic Particles'!C1)*A29)+(('Atomic Particles'!C2)*Elements!F29)</f>
        <v>63.5056804426426</v>
      </c>
      <c r="K29" s="17">
        <f>(E29^(1/3))*Constants!B2</f>
        <v>4.9738215098704893E-15</v>
      </c>
      <c r="L29" s="15">
        <v>29</v>
      </c>
      <c r="M29" s="19">
        <v>3</v>
      </c>
    </row>
    <row r="30" spans="1:13" x14ac:dyDescent="0.3">
      <c r="A30">
        <v>30</v>
      </c>
      <c r="B30" t="s">
        <v>142</v>
      </c>
      <c r="C30" t="s">
        <v>48</v>
      </c>
      <c r="D30" t="s">
        <v>242</v>
      </c>
      <c r="E30" s="18">
        <v>64</v>
      </c>
      <c r="F30">
        <f t="shared" si="0"/>
        <v>34</v>
      </c>
      <c r="G30">
        <v>65.38</v>
      </c>
      <c r="H30">
        <f>(G30-(A30*'Atomic Particles'!C1))/'Atomic Particles'!C2+A30</f>
        <v>64.859593178886996</v>
      </c>
      <c r="J30">
        <f>(('Atomic Particles'!C1)*A30)+(('Atomic Particles'!C2)*Elements!F30)</f>
        <v>64.512957656064629</v>
      </c>
      <c r="K30" s="17">
        <f>(E30^(1/3))*Constants!B2</f>
        <v>4.9999999999999992E-15</v>
      </c>
      <c r="L30" s="15">
        <v>30</v>
      </c>
      <c r="M30" s="19">
        <v>3</v>
      </c>
    </row>
    <row r="31" spans="1:13" x14ac:dyDescent="0.3">
      <c r="A31">
        <v>31</v>
      </c>
      <c r="B31" t="s">
        <v>143</v>
      </c>
      <c r="C31" t="s">
        <v>54</v>
      </c>
      <c r="D31" t="s">
        <v>241</v>
      </c>
      <c r="E31" s="18">
        <v>71</v>
      </c>
      <c r="F31">
        <f t="shared" si="0"/>
        <v>40</v>
      </c>
      <c r="G31">
        <v>69.722999999999999</v>
      </c>
      <c r="H31">
        <f>(G31-(A31*'Atomic Particles'!C1))/'Atomic Particles'!C2+A31</f>
        <v>69.166657215674235</v>
      </c>
      <c r="J31">
        <f>(('Atomic Particles'!C1)*A31)+(('Atomic Particles'!C2)*Elements!F31)</f>
        <v>71.572230384793187</v>
      </c>
      <c r="K31" s="17">
        <f>(E31^(1/3))*Constants!B2</f>
        <v>5.1760221867785662E-15</v>
      </c>
      <c r="L31" s="15">
        <v>31</v>
      </c>
      <c r="M31" s="19">
        <v>4</v>
      </c>
    </row>
    <row r="32" spans="1:13" x14ac:dyDescent="0.3">
      <c r="A32">
        <v>32</v>
      </c>
      <c r="B32" t="s">
        <v>144</v>
      </c>
      <c r="C32" t="s">
        <v>230</v>
      </c>
      <c r="D32" t="s">
        <v>239</v>
      </c>
      <c r="E32" s="18">
        <v>70</v>
      </c>
      <c r="F32">
        <f t="shared" si="0"/>
        <v>38</v>
      </c>
      <c r="G32">
        <v>72.63</v>
      </c>
      <c r="H32">
        <f>(G32-(A32*'Atomic Particles'!C1))/'Atomic Particles'!C2+A32</f>
        <v>72.050058598018182</v>
      </c>
      <c r="J32">
        <f>(('Atomic Particles'!C1)*A32)+(('Atomic Particles'!C2)*Elements!F32)</f>
        <v>70.56217575977972</v>
      </c>
      <c r="K32" s="17">
        <f>(E32^(1/3))*Constants!B2</f>
        <v>5.1516066247606958E-15</v>
      </c>
      <c r="L32" s="15">
        <v>32</v>
      </c>
      <c r="M32" s="19">
        <v>4</v>
      </c>
    </row>
    <row r="33" spans="1:13" x14ac:dyDescent="0.3">
      <c r="A33">
        <v>33</v>
      </c>
      <c r="B33" t="s">
        <v>145</v>
      </c>
      <c r="C33" t="s">
        <v>65</v>
      </c>
      <c r="D33" t="s">
        <v>239</v>
      </c>
      <c r="E33" s="18">
        <v>75</v>
      </c>
      <c r="F33">
        <f t="shared" si="0"/>
        <v>42</v>
      </c>
      <c r="G33">
        <v>74.921999999999997</v>
      </c>
      <c r="H33">
        <f>(G33-(A33*'Atomic Particles'!C1))/'Atomic Particles'!C2+A33</f>
        <v>74.323743732115219</v>
      </c>
      <c r="J33">
        <f>(('Atomic Particles'!C1)*A33)+(('Atomic Particles'!C2)*Elements!F33)</f>
        <v>75.604116650072768</v>
      </c>
      <c r="K33" s="17">
        <f>(E33^(1/3))*Constants!B2</f>
        <v>5.2714541581359321E-15</v>
      </c>
      <c r="L33" s="15">
        <v>33</v>
      </c>
      <c r="M33" s="19">
        <v>4</v>
      </c>
    </row>
    <row r="34" spans="1:13" x14ac:dyDescent="0.3">
      <c r="A34">
        <v>34</v>
      </c>
      <c r="B34" t="s">
        <v>146</v>
      </c>
      <c r="C34" t="s">
        <v>231</v>
      </c>
      <c r="D34" t="s">
        <v>235</v>
      </c>
      <c r="E34" s="18">
        <v>77</v>
      </c>
      <c r="F34">
        <f t="shared" si="0"/>
        <v>43</v>
      </c>
      <c r="G34">
        <v>78.971000000000004</v>
      </c>
      <c r="H34">
        <f>(G34-(A34*'Atomic Particles'!C1))/'Atomic Particles'!C2+A34</f>
        <v>78.339333659984405</v>
      </c>
      <c r="J34">
        <f>(('Atomic Particles'!C1)*A34)+(('Atomic Particles'!C2)*Elements!F34)</f>
        <v>77.620059782712559</v>
      </c>
      <c r="K34" s="17">
        <f>(E34^(1/3))*Constants!B2</f>
        <v>5.3179010813937576E-15</v>
      </c>
      <c r="L34" s="15">
        <v>34</v>
      </c>
      <c r="M34" s="19">
        <v>4</v>
      </c>
    </row>
    <row r="35" spans="1:13" x14ac:dyDescent="0.3">
      <c r="A35">
        <v>35</v>
      </c>
      <c r="B35" t="s">
        <v>147</v>
      </c>
      <c r="C35" t="s">
        <v>72</v>
      </c>
      <c r="D35" t="s">
        <v>240</v>
      </c>
      <c r="E35" s="18">
        <v>81</v>
      </c>
      <c r="F35">
        <f t="shared" si="0"/>
        <v>46</v>
      </c>
      <c r="G35">
        <v>79.903999999999996</v>
      </c>
      <c r="H35">
        <f>(G35-(A35*'Atomic Particles'!C1))/'Atomic Particles'!C2+A35</f>
        <v>79.265694596735756</v>
      </c>
      <c r="J35">
        <f>(('Atomic Particles'!C1)*A35)+(('Atomic Particles'!C2)*Elements!F35)</f>
        <v>81.653334753787846</v>
      </c>
      <c r="K35" s="17">
        <f>(E35^(1/3))*Constants!B2</f>
        <v>5.4084358886527817E-15</v>
      </c>
      <c r="L35" s="15">
        <v>35</v>
      </c>
      <c r="M35" s="19">
        <v>4</v>
      </c>
    </row>
    <row r="36" spans="1:13" x14ac:dyDescent="0.3">
      <c r="A36">
        <v>36</v>
      </c>
      <c r="B36" t="s">
        <v>148</v>
      </c>
      <c r="C36" t="s">
        <v>79</v>
      </c>
      <c r="D36" t="s">
        <v>236</v>
      </c>
      <c r="E36" s="18">
        <v>83</v>
      </c>
      <c r="F36">
        <f t="shared" si="0"/>
        <v>47</v>
      </c>
      <c r="G36">
        <v>83.798000000000002</v>
      </c>
      <c r="H36">
        <f>(G36-(A36*'Atomic Particles'!C1))/'Atomic Particles'!C2+A36</f>
        <v>83.127616201876037</v>
      </c>
      <c r="J36">
        <f>(('Atomic Particles'!C1)*A36)+(('Atomic Particles'!C2)*Elements!F36)</f>
        <v>83.669277886427636</v>
      </c>
      <c r="K36" s="17">
        <f>(E36^(1/3))*Constants!B2</f>
        <v>5.4525883393185473E-15</v>
      </c>
      <c r="L36" s="15">
        <v>36</v>
      </c>
      <c r="M36" s="19">
        <v>4</v>
      </c>
    </row>
    <row r="37" spans="1:13" x14ac:dyDescent="0.3">
      <c r="A37">
        <v>37</v>
      </c>
      <c r="B37" t="s">
        <v>227</v>
      </c>
      <c r="C37" t="s">
        <v>5</v>
      </c>
      <c r="D37" t="s">
        <v>237</v>
      </c>
      <c r="E37" s="18">
        <v>85</v>
      </c>
      <c r="F37">
        <f t="shared" si="0"/>
        <v>48</v>
      </c>
      <c r="G37">
        <v>85.468000000000004</v>
      </c>
      <c r="H37">
        <f>(G37-(A37*'Atomic Particles'!C1))/'Atomic Particles'!C2+A37</f>
        <v>84.784645227989984</v>
      </c>
      <c r="J37">
        <f>(('Atomic Particles'!C1)*A37)+(('Atomic Particles'!C2)*Elements!F37)</f>
        <v>85.685221019067427</v>
      </c>
      <c r="K37" s="17">
        <f>(E37^(1/3))*Constants!B2</f>
        <v>5.4960370901977238E-15</v>
      </c>
      <c r="L37" s="15">
        <v>37</v>
      </c>
      <c r="M37" s="19">
        <v>5</v>
      </c>
    </row>
    <row r="38" spans="1:13" x14ac:dyDescent="0.3">
      <c r="A38">
        <v>38</v>
      </c>
      <c r="B38" t="s">
        <v>149</v>
      </c>
      <c r="C38" t="s">
        <v>11</v>
      </c>
      <c r="D38" t="s">
        <v>238</v>
      </c>
      <c r="E38" s="18">
        <v>88</v>
      </c>
      <c r="F38">
        <f>E38-A38</f>
        <v>50</v>
      </c>
      <c r="G38">
        <v>87.62</v>
      </c>
      <c r="H38">
        <f>(G38-(A38*'Atomic Particles'!C1))/'Atomic Particles'!C2+A38</f>
        <v>86.919533167364136</v>
      </c>
      <c r="J38">
        <f>(('Atomic Particles'!C1)*A38)+(('Atomic Particles'!C2)*Elements!F38)</f>
        <v>88.709830070924966</v>
      </c>
      <c r="K38" s="17">
        <f>(E38^(1/3))*Constants!B2</f>
        <v>5.5599502264232888E-15</v>
      </c>
      <c r="L38" s="15">
        <v>38</v>
      </c>
      <c r="M38" s="19">
        <v>5</v>
      </c>
    </row>
    <row r="39" spans="1:13" x14ac:dyDescent="0.3">
      <c r="A39">
        <v>39</v>
      </c>
      <c r="B39" t="s">
        <v>150</v>
      </c>
      <c r="C39" t="s">
        <v>15</v>
      </c>
      <c r="D39" t="s">
        <v>242</v>
      </c>
      <c r="E39" s="18">
        <v>89</v>
      </c>
      <c r="F39">
        <f>E39-A39</f>
        <v>50</v>
      </c>
      <c r="G39">
        <v>88.906000000000006</v>
      </c>
      <c r="H39">
        <f>(G39-(A39*'Atomic Particles'!C1))/'Atomic Particles'!C2+A39</f>
        <v>88.195861316523889</v>
      </c>
      <c r="J39">
        <f>(('Atomic Particles'!C1)*A39)+(('Atomic Particles'!C2)*Elements!F39)</f>
        <v>89.717107284346994</v>
      </c>
      <c r="K39" s="17">
        <f>(E39^(1/3))*Constants!B2</f>
        <v>5.5809313694806703E-15</v>
      </c>
      <c r="L39" s="15">
        <v>39</v>
      </c>
      <c r="M39" s="19">
        <v>4</v>
      </c>
    </row>
    <row r="40" spans="1:13" x14ac:dyDescent="0.3">
      <c r="A40">
        <v>40</v>
      </c>
      <c r="B40" t="s">
        <v>151</v>
      </c>
      <c r="C40" t="s">
        <v>17</v>
      </c>
      <c r="D40" t="s">
        <v>242</v>
      </c>
      <c r="E40" s="18">
        <v>88</v>
      </c>
      <c r="F40">
        <f>E40-A40</f>
        <v>48</v>
      </c>
      <c r="G40">
        <v>91.224000000000004</v>
      </c>
      <c r="H40">
        <f>(G40-(A40*'Atomic Particles'!C1))/'Atomic Particles'!C2+A40</f>
        <v>90.495323072498024</v>
      </c>
      <c r="J40">
        <f>(('Atomic Particles'!C1)*A40)+(('Atomic Particles'!C2)*Elements!F40)</f>
        <v>88.707052659333527</v>
      </c>
      <c r="K40" s="17">
        <f>(E40^(1/3))*Constants!B2</f>
        <v>5.5599502264232888E-15</v>
      </c>
      <c r="L40" s="15">
        <v>40</v>
      </c>
      <c r="M40" s="19">
        <v>4</v>
      </c>
    </row>
    <row r="41" spans="1:13" x14ac:dyDescent="0.3">
      <c r="A41">
        <v>41</v>
      </c>
      <c r="B41" t="s">
        <v>152</v>
      </c>
      <c r="C41" t="s">
        <v>22</v>
      </c>
      <c r="D41" t="s">
        <v>242</v>
      </c>
      <c r="E41" s="18">
        <v>93</v>
      </c>
      <c r="F41">
        <f t="shared" si="0"/>
        <v>52</v>
      </c>
      <c r="G41">
        <v>92.906000000000006</v>
      </c>
      <c r="H41">
        <f>(G41-(A41*'Atomic Particles'!C1))/'Atomic Particles'!C2+A41</f>
        <v>92.164249001016771</v>
      </c>
      <c r="J41">
        <f>(('Atomic Particles'!C1)*A41)+(('Atomic Particles'!C2)*Elements!F41)</f>
        <v>93.748993549626576</v>
      </c>
      <c r="K41" s="17">
        <f>(E41^(1/3))*Constants!B2</f>
        <v>5.6633186201043664E-15</v>
      </c>
      <c r="L41" s="15">
        <v>41</v>
      </c>
      <c r="M41" s="19">
        <v>4</v>
      </c>
    </row>
    <row r="42" spans="1:13" x14ac:dyDescent="0.3">
      <c r="A42">
        <v>42</v>
      </c>
      <c r="B42" t="s">
        <v>153</v>
      </c>
      <c r="C42" t="s">
        <v>25</v>
      </c>
      <c r="D42" t="s">
        <v>242</v>
      </c>
      <c r="E42" s="18">
        <v>95</v>
      </c>
      <c r="F42">
        <f t="shared" si="0"/>
        <v>53</v>
      </c>
      <c r="G42">
        <v>95.95</v>
      </c>
      <c r="H42">
        <f>(G42-(A42*'Atomic Particles'!C1))/'Atomic Particles'!C2+A42</f>
        <v>95.183473352482423</v>
      </c>
      <c r="J42">
        <f>(('Atomic Particles'!C1)*A42)+(('Atomic Particles'!C2)*Elements!F42)</f>
        <v>95.764936682266352</v>
      </c>
      <c r="K42" s="17">
        <f>(E42^(1/3))*Constants!B2</f>
        <v>5.7036282942337079E-15</v>
      </c>
      <c r="L42" s="15">
        <v>42</v>
      </c>
      <c r="M42" s="19">
        <v>4</v>
      </c>
    </row>
    <row r="43" spans="1:13" x14ac:dyDescent="0.3">
      <c r="A43">
        <v>43</v>
      </c>
      <c r="B43" t="s">
        <v>154</v>
      </c>
      <c r="C43" t="s">
        <v>33</v>
      </c>
      <c r="D43" t="s">
        <v>242</v>
      </c>
      <c r="E43" s="18">
        <v>97</v>
      </c>
      <c r="F43">
        <f t="shared" si="0"/>
        <v>54</v>
      </c>
      <c r="G43">
        <v>98</v>
      </c>
      <c r="H43">
        <f>(G43-(A43*'Atomic Particles'!C1))/'Atomic Particles'!C2+A43</f>
        <v>97.217237621415606</v>
      </c>
      <c r="J43">
        <f>(('Atomic Particles'!C1)*A43)+(('Atomic Particles'!C2)*Elements!F43)</f>
        <v>97.780879814906143</v>
      </c>
      <c r="K43" s="17">
        <f>(E43^(1/3))*Constants!B2</f>
        <v>5.743376115258799E-15</v>
      </c>
      <c r="L43" s="15">
        <v>43</v>
      </c>
      <c r="M43" s="19">
        <v>4</v>
      </c>
    </row>
    <row r="44" spans="1:13" x14ac:dyDescent="0.3">
      <c r="A44">
        <v>44</v>
      </c>
      <c r="B44" t="s">
        <v>155</v>
      </c>
      <c r="C44" t="s">
        <v>38</v>
      </c>
      <c r="D44" t="s">
        <v>242</v>
      </c>
      <c r="E44" s="18">
        <v>101</v>
      </c>
      <c r="F44">
        <f t="shared" si="0"/>
        <v>57</v>
      </c>
      <c r="G44">
        <v>101.07</v>
      </c>
      <c r="H44">
        <f>(G44-(A44*'Atomic Particles'!C1))/'Atomic Particles'!C2+A44</f>
        <v>100.26223859475836</v>
      </c>
      <c r="J44">
        <f>(('Atomic Particles'!C1)*A44)+(('Atomic Particles'!C2)*Elements!F44)</f>
        <v>101.81415478598143</v>
      </c>
      <c r="K44" s="17">
        <f>(E44^(1/3))*Constants!B2</f>
        <v>5.8212618847547935E-15</v>
      </c>
      <c r="L44" s="15">
        <v>44</v>
      </c>
      <c r="M44" s="19">
        <v>4</v>
      </c>
    </row>
    <row r="45" spans="1:13" x14ac:dyDescent="0.3">
      <c r="A45">
        <v>45</v>
      </c>
      <c r="B45" t="s">
        <v>156</v>
      </c>
      <c r="C45" t="s">
        <v>41</v>
      </c>
      <c r="D45" t="s">
        <v>242</v>
      </c>
      <c r="E45" s="18">
        <v>103</v>
      </c>
      <c r="F45">
        <f t="shared" si="0"/>
        <v>58</v>
      </c>
      <c r="G45">
        <v>102.91</v>
      </c>
      <c r="H45">
        <f>(G45-(A45*'Atomic Particles'!C1))/'Atomic Particles'!C2+A45</f>
        <v>102.08780707160723</v>
      </c>
      <c r="J45">
        <f>(('Atomic Particles'!C1)*A45)+(('Atomic Particles'!C2)*Elements!F45)</f>
        <v>103.83009791862122</v>
      </c>
      <c r="K45" s="17">
        <f>(E45^(1/3))*Constants!B2</f>
        <v>5.8594351845669979E-15</v>
      </c>
      <c r="L45" s="15">
        <v>45</v>
      </c>
      <c r="M45" s="19">
        <v>4</v>
      </c>
    </row>
    <row r="46" spans="1:13" x14ac:dyDescent="0.3">
      <c r="A46">
        <v>46</v>
      </c>
      <c r="B46" t="s">
        <v>157</v>
      </c>
      <c r="C46" t="s">
        <v>46</v>
      </c>
      <c r="D46" t="s">
        <v>242</v>
      </c>
      <c r="E46" s="18">
        <v>105</v>
      </c>
      <c r="F46">
        <f t="shared" si="0"/>
        <v>59</v>
      </c>
      <c r="G46">
        <v>106.42</v>
      </c>
      <c r="H46">
        <f>(G46-(A46*'Atomic Particles'!C1))/'Atomic Particles'!C2+A46</f>
        <v>105.56902779979333</v>
      </c>
      <c r="J46">
        <f>(('Atomic Particles'!C1)*A46)+(('Atomic Particles'!C2)*Elements!F46)</f>
        <v>105.84604105126101</v>
      </c>
      <c r="K46" s="17">
        <f>(E46^(1/3))*Constants!B2</f>
        <v>5.8971174753956653E-15</v>
      </c>
      <c r="L46" s="15">
        <v>46</v>
      </c>
      <c r="M46" s="19">
        <v>4</v>
      </c>
    </row>
    <row r="47" spans="1:13" x14ac:dyDescent="0.3">
      <c r="A47">
        <v>47</v>
      </c>
      <c r="B47" t="s">
        <v>158</v>
      </c>
      <c r="C47" t="s">
        <v>49</v>
      </c>
      <c r="D47" t="s">
        <v>242</v>
      </c>
      <c r="E47" s="18">
        <v>109</v>
      </c>
      <c r="F47">
        <f t="shared" si="0"/>
        <v>62</v>
      </c>
      <c r="G47">
        <v>107.87</v>
      </c>
      <c r="H47">
        <f>(G47-(A47*'Atomic Particles'!C1))/'Atomic Particles'!C2+A47</f>
        <v>107.0079469484856</v>
      </c>
      <c r="J47">
        <f>(('Atomic Particles'!C1)*A47)+(('Atomic Particles'!C2)*Elements!F47)</f>
        <v>109.87931602233631</v>
      </c>
      <c r="K47" s="17">
        <f>(E47^(1/3))*Constants!B2</f>
        <v>5.9710702262937699E-15</v>
      </c>
      <c r="L47" s="15">
        <v>47</v>
      </c>
      <c r="M47" s="19">
        <v>4</v>
      </c>
    </row>
    <row r="48" spans="1:13" x14ac:dyDescent="0.3">
      <c r="A48">
        <v>48</v>
      </c>
      <c r="B48" t="s">
        <v>159</v>
      </c>
      <c r="C48" t="s">
        <v>55</v>
      </c>
      <c r="D48" t="s">
        <v>242</v>
      </c>
      <c r="E48" s="18">
        <v>111</v>
      </c>
      <c r="F48">
        <f t="shared" si="0"/>
        <v>63</v>
      </c>
      <c r="G48">
        <v>112.41</v>
      </c>
      <c r="H48">
        <f>(G48-(A48*'Atomic Particles'!C1))/'Atomic Particles'!C2+A48</f>
        <v>111.5103184664186</v>
      </c>
      <c r="J48">
        <f>(('Atomic Particles'!C1)*A48)+(('Atomic Particles'!C2)*Elements!F48)</f>
        <v>111.89525915497609</v>
      </c>
      <c r="K48" s="17">
        <f>(E48^(1/3))*Constants!B2</f>
        <v>6.007369417131666E-15</v>
      </c>
      <c r="L48" s="15">
        <v>48</v>
      </c>
      <c r="M48" s="19">
        <v>4</v>
      </c>
    </row>
    <row r="49" spans="1:13" x14ac:dyDescent="0.3">
      <c r="A49">
        <v>49</v>
      </c>
      <c r="B49" t="s">
        <v>160</v>
      </c>
      <c r="C49" t="s">
        <v>59</v>
      </c>
      <c r="D49" t="s">
        <v>241</v>
      </c>
      <c r="E49" s="18">
        <v>115</v>
      </c>
      <c r="F49">
        <f t="shared" si="0"/>
        <v>66</v>
      </c>
      <c r="G49">
        <v>114.82</v>
      </c>
      <c r="H49">
        <f>(G49-(A49*'Atomic Particles'!C1))/'Atomic Particles'!C2+A49</f>
        <v>113.90098980749633</v>
      </c>
      <c r="J49">
        <f>(('Atomic Particles'!C1)*A49)+(('Atomic Particles'!C2)*Elements!F49)</f>
        <v>115.9285341260514</v>
      </c>
      <c r="K49" s="17">
        <f>(E49^(1/3))*Constants!B2</f>
        <v>6.0786801638678501E-15</v>
      </c>
      <c r="L49" s="15">
        <v>49</v>
      </c>
      <c r="M49" s="19">
        <v>5</v>
      </c>
    </row>
    <row r="50" spans="1:13" x14ac:dyDescent="0.3">
      <c r="A50">
        <v>50</v>
      </c>
      <c r="B50" t="s">
        <v>161</v>
      </c>
      <c r="C50" t="s">
        <v>66</v>
      </c>
      <c r="D50" t="s">
        <v>241</v>
      </c>
      <c r="E50" s="18">
        <v>117</v>
      </c>
      <c r="F50">
        <f t="shared" si="0"/>
        <v>67</v>
      </c>
      <c r="G50">
        <v>118.71</v>
      </c>
      <c r="H50">
        <f>(G50-(A50*'Atomic Particles'!C1))/'Atomic Particles'!C2+A50</f>
        <v>117.75894577850167</v>
      </c>
      <c r="J50">
        <f>(('Atomic Particles'!C1)*A50)+(('Atomic Particles'!C2)*Elements!F50)</f>
        <v>117.94447725869118</v>
      </c>
      <c r="K50" s="17">
        <f>(E50^(1/3))*Constants!B2</f>
        <v>6.1137165581359352E-15</v>
      </c>
      <c r="L50" s="15">
        <v>50</v>
      </c>
      <c r="M50" s="19">
        <v>5</v>
      </c>
    </row>
    <row r="51" spans="1:13" x14ac:dyDescent="0.3">
      <c r="A51">
        <v>51</v>
      </c>
      <c r="B51" t="s">
        <v>162</v>
      </c>
      <c r="C51" t="s">
        <v>232</v>
      </c>
      <c r="D51" t="s">
        <v>239</v>
      </c>
      <c r="E51" s="18">
        <v>125</v>
      </c>
      <c r="F51">
        <f t="shared" si="0"/>
        <v>74</v>
      </c>
      <c r="G51">
        <v>121.76</v>
      </c>
      <c r="H51">
        <f>(G51-(A51*'Atomic Particles'!C1))/'Atomic Particles'!C2+A51</f>
        <v>120.78411858116974</v>
      </c>
      <c r="J51">
        <f>(('Atomic Particles'!C1)*A51)+(('Atomic Particles'!C2)*Elements!F51)</f>
        <v>126.01241590663747</v>
      </c>
      <c r="K51" s="17">
        <f>(E51^(1/3))*Constants!B2</f>
        <v>6.250000000000001E-15</v>
      </c>
      <c r="L51" s="15">
        <v>51</v>
      </c>
      <c r="M51" s="19">
        <v>5</v>
      </c>
    </row>
    <row r="52" spans="1:13" x14ac:dyDescent="0.3">
      <c r="A52">
        <v>52</v>
      </c>
      <c r="B52" t="s">
        <v>163</v>
      </c>
      <c r="C52" t="s">
        <v>55</v>
      </c>
      <c r="D52" t="s">
        <v>239</v>
      </c>
      <c r="E52" s="18">
        <v>128</v>
      </c>
      <c r="F52">
        <f t="shared" si="0"/>
        <v>76</v>
      </c>
      <c r="G52">
        <v>127.6</v>
      </c>
      <c r="H52">
        <f>(G52-(A52*'Atomic Particles'!C1))/'Atomic Particles'!C2+A52</f>
        <v>126.57532119295804</v>
      </c>
      <c r="J52">
        <f>(('Atomic Particles'!C1)*A52)+(('Atomic Particles'!C2)*Elements!F52)</f>
        <v>129.03702495849501</v>
      </c>
      <c r="K52" s="17">
        <f>(E52^(1/3))*Constants!B2</f>
        <v>6.2996052494743645E-15</v>
      </c>
      <c r="L52" s="15">
        <v>52</v>
      </c>
      <c r="M52" s="19">
        <v>5</v>
      </c>
    </row>
    <row r="53" spans="1:13" x14ac:dyDescent="0.3">
      <c r="A53">
        <v>53</v>
      </c>
      <c r="B53" t="s">
        <v>164</v>
      </c>
      <c r="C53" t="s">
        <v>78</v>
      </c>
      <c r="D53" t="s">
        <v>240</v>
      </c>
      <c r="E53" s="18">
        <v>127</v>
      </c>
      <c r="F53">
        <f t="shared" si="0"/>
        <v>74</v>
      </c>
      <c r="G53">
        <v>126.9</v>
      </c>
      <c r="H53">
        <f>(G53-(A53*'Atomic Particles'!C1))/'Atomic Particles'!C2+A53</f>
        <v>125.88271199412037</v>
      </c>
      <c r="J53">
        <f>(('Atomic Particles'!C1)*A53)+(('Atomic Particles'!C2)*Elements!F53)</f>
        <v>128.02697033348153</v>
      </c>
      <c r="K53" s="17">
        <f>(E53^(1/3))*Constants!B2</f>
        <v>6.2831571191418486E-15</v>
      </c>
      <c r="L53" s="15">
        <v>53</v>
      </c>
      <c r="M53" s="19">
        <v>5</v>
      </c>
    </row>
    <row r="54" spans="1:13" x14ac:dyDescent="0.3">
      <c r="A54">
        <v>54</v>
      </c>
      <c r="B54" t="s">
        <v>165</v>
      </c>
      <c r="C54" t="s">
        <v>6</v>
      </c>
      <c r="D54" t="s">
        <v>236</v>
      </c>
      <c r="E54" s="18">
        <v>129</v>
      </c>
      <c r="F54">
        <f t="shared" si="0"/>
        <v>75</v>
      </c>
      <c r="G54">
        <v>131.29</v>
      </c>
      <c r="H54">
        <f>(G54-(A54*'Atomic Particles'!C1))/'Atomic Particles'!C2+A54</f>
        <v>130.23637223199313</v>
      </c>
      <c r="J54">
        <f>(('Atomic Particles'!C1)*A54)+(('Atomic Particles'!C55)*Elements!F2)</f>
        <v>54.392969524789883</v>
      </c>
      <c r="K54" s="17">
        <f>(E54^(1/3))*Constants!B2</f>
        <v>6.3159679340107001E-15</v>
      </c>
      <c r="L54" s="15">
        <v>54</v>
      </c>
      <c r="M54" s="19">
        <v>5</v>
      </c>
    </row>
    <row r="55" spans="1:13" x14ac:dyDescent="0.3">
      <c r="A55">
        <v>55</v>
      </c>
      <c r="B55" t="s">
        <v>166</v>
      </c>
      <c r="C55" t="s">
        <v>12</v>
      </c>
      <c r="D55" t="s">
        <v>237</v>
      </c>
      <c r="E55" s="18">
        <v>133</v>
      </c>
      <c r="F55">
        <f t="shared" si="0"/>
        <v>78</v>
      </c>
      <c r="G55">
        <v>32.909999999999997</v>
      </c>
      <c r="H55">
        <f>(G55-(A55*'Atomic Particles'!C1))/'Atomic Particles'!C2+A55</f>
        <v>32.702977457934033</v>
      </c>
      <c r="J55">
        <f>(('Atomic Particles'!C1)*A55)+(('Atomic Particles'!C56)*Elements!F2)</f>
        <v>55.400246738211919</v>
      </c>
      <c r="K55" s="17">
        <f>(E55^(1/3))*Constants!B2</f>
        <v>6.3805859025018287E-15</v>
      </c>
      <c r="L55" s="15">
        <v>55</v>
      </c>
      <c r="M55" s="19">
        <v>6</v>
      </c>
    </row>
    <row r="56" spans="1:13" x14ac:dyDescent="0.3">
      <c r="A56">
        <v>56</v>
      </c>
      <c r="B56" t="s">
        <v>167</v>
      </c>
      <c r="D56" t="s">
        <v>238</v>
      </c>
      <c r="E56" s="18">
        <v>135</v>
      </c>
      <c r="F56">
        <f t="shared" si="0"/>
        <v>79</v>
      </c>
      <c r="G56">
        <v>137.33000000000001</v>
      </c>
      <c r="H56">
        <f>(G56-(A56*'Atomic Particles'!C1))/'Atomic Particles'!C2+A56</f>
        <v>136.22723332530518</v>
      </c>
      <c r="J56">
        <f>(('Atomic Particles'!C1)*A56)+(('Atomic Particles'!C57)*Elements!F2)</f>
        <v>56.407523951633955</v>
      </c>
      <c r="K56" s="17">
        <f>(E56^(1/3))*Constants!B2</f>
        <v>6.4124098000376141E-15</v>
      </c>
      <c r="L56" s="15">
        <v>56</v>
      </c>
      <c r="M56" s="19">
        <v>6</v>
      </c>
    </row>
    <row r="57" spans="1:13" x14ac:dyDescent="0.3">
      <c r="A57">
        <v>57</v>
      </c>
      <c r="B57" t="s">
        <v>168</v>
      </c>
      <c r="C57" t="s">
        <v>83</v>
      </c>
      <c r="D57" t="s">
        <v>243</v>
      </c>
      <c r="E57" s="18">
        <v>138</v>
      </c>
      <c r="F57">
        <f t="shared" si="0"/>
        <v>81</v>
      </c>
      <c r="G57">
        <v>138.91</v>
      </c>
      <c r="H57">
        <f>(G57-(A57*'Atomic Particles'!C1))/'Atomic Particles'!C2+A57</f>
        <v>137.79503558338297</v>
      </c>
      <c r="J57">
        <f>(('Atomic Particles'!C1)*A57)+(('Atomic Particles'!C58)*Elements!F2)</f>
        <v>57.414801165055991</v>
      </c>
      <c r="K57" s="17">
        <f>(E57^(1/3))*Constants!B2</f>
        <v>6.4595615654545291E-15</v>
      </c>
      <c r="L57" s="15">
        <v>57</v>
      </c>
    </row>
    <row r="58" spans="1:13" x14ac:dyDescent="0.3">
      <c r="A58">
        <v>58</v>
      </c>
      <c r="B58" t="s">
        <v>169</v>
      </c>
      <c r="C58" t="s">
        <v>85</v>
      </c>
      <c r="D58" t="s">
        <v>243</v>
      </c>
      <c r="E58" s="18">
        <v>138</v>
      </c>
      <c r="F58">
        <f t="shared" si="0"/>
        <v>80</v>
      </c>
      <c r="G58">
        <v>140.12</v>
      </c>
      <c r="H58">
        <f>(G58-(A58*'Atomic Particles'!C1))/'Atomic Particles'!C2+A58</f>
        <v>138.99601668397884</v>
      </c>
      <c r="J58">
        <f>(('Atomic Particles'!C1)*A58)+(('Atomic Particles'!C59)*Elements!F2)</f>
        <v>58.422078378478027</v>
      </c>
      <c r="K58" s="17">
        <f>(E58^(1/3))*Constants!B2</f>
        <v>6.4595615654545291E-15</v>
      </c>
      <c r="L58" s="15">
        <v>58</v>
      </c>
    </row>
    <row r="59" spans="1:13" x14ac:dyDescent="0.3">
      <c r="A59">
        <v>59</v>
      </c>
      <c r="B59" t="s">
        <v>170</v>
      </c>
      <c r="C59" t="s">
        <v>86</v>
      </c>
      <c r="D59" t="s">
        <v>243</v>
      </c>
      <c r="E59" s="18">
        <v>141</v>
      </c>
      <c r="F59">
        <f t="shared" si="0"/>
        <v>82</v>
      </c>
      <c r="G59">
        <v>140.91</v>
      </c>
      <c r="H59">
        <f>(G59-(A59*'Atomic Particles'!C1))/'Atomic Particles'!C2+A59</f>
        <v>139.78060620040611</v>
      </c>
      <c r="J59">
        <f>(('Atomic Particles'!C1)*A59)+(('Atomic Particles'!C2)*Elements!F59)</f>
        <v>142.13996096775577</v>
      </c>
      <c r="K59" s="17">
        <f>(E59^(1/3))*Constants!B2</f>
        <v>6.5060348292427508E-15</v>
      </c>
      <c r="L59" s="15" t="s">
        <v>497</v>
      </c>
    </row>
    <row r="60" spans="1:13" x14ac:dyDescent="0.3">
      <c r="A60">
        <v>60</v>
      </c>
      <c r="B60" t="s">
        <v>469</v>
      </c>
      <c r="C60" t="s">
        <v>87</v>
      </c>
      <c r="D60" t="s">
        <v>243</v>
      </c>
      <c r="E60" s="18">
        <v>143</v>
      </c>
      <c r="F60">
        <f t="shared" si="0"/>
        <v>83</v>
      </c>
      <c r="G60">
        <v>144.24</v>
      </c>
      <c r="H60">
        <f>(G60-(A60*'Atomic Particles'!C1))/'Atomic Particles'!C2+A60</f>
        <v>143.08337339251995</v>
      </c>
      <c r="J60">
        <f>(('Atomic Particles'!C1)*A60)+(('Atomic Particles'!C2)*Elements!F60)</f>
        <v>144.15590410039556</v>
      </c>
      <c r="K60" s="17">
        <f>(E60^(1/3))*Constants!B2</f>
        <v>6.5366519146949789E-15</v>
      </c>
      <c r="L60" s="15">
        <v>60</v>
      </c>
    </row>
    <row r="61" spans="1:13" x14ac:dyDescent="0.3">
      <c r="A61">
        <v>61</v>
      </c>
      <c r="B61" t="s">
        <v>173</v>
      </c>
      <c r="C61" t="s">
        <v>88</v>
      </c>
      <c r="D61" t="s">
        <v>243</v>
      </c>
      <c r="E61" s="18">
        <v>145</v>
      </c>
      <c r="F61">
        <f t="shared" si="0"/>
        <v>84</v>
      </c>
      <c r="G61">
        <v>145</v>
      </c>
      <c r="H61">
        <f>(G61-(A61*'Atomic Particles'!C1))/'Atomic Particles'!C2+A61</f>
        <v>143.83822065293515</v>
      </c>
      <c r="J61">
        <f>(('Atomic Particles'!C1)*A61)+(('Atomic Particles'!C2)*Elements!F61)</f>
        <v>146.17184723303535</v>
      </c>
      <c r="K61" s="17">
        <f>(E61^(1/3))*Constants!B2</f>
        <v>6.5669848406161256E-15</v>
      </c>
      <c r="L61" s="15">
        <v>61</v>
      </c>
    </row>
    <row r="62" spans="1:13" x14ac:dyDescent="0.3">
      <c r="A62">
        <v>62</v>
      </c>
      <c r="B62" t="s">
        <v>171</v>
      </c>
      <c r="C62" t="s">
        <v>89</v>
      </c>
      <c r="D62" t="s">
        <v>243</v>
      </c>
      <c r="E62" s="18">
        <v>147</v>
      </c>
      <c r="F62">
        <f t="shared" si="0"/>
        <v>85</v>
      </c>
      <c r="G62">
        <v>150.36000000000001</v>
      </c>
      <c r="H62">
        <f>(G62-(A62*'Atomic Particles'!C1))/'Atomic Particles'!C2+A62</f>
        <v>149.15354716853076</v>
      </c>
      <c r="J62">
        <f>(('Atomic Particles'!C1)*A62)+(('Atomic Particles'!C2)*Elements!F62)</f>
        <v>148.18779036567514</v>
      </c>
      <c r="K62" s="17">
        <f>(E62^(1/3))*Constants!B2</f>
        <v>6.5970401098800959E-15</v>
      </c>
      <c r="L62" s="15">
        <v>62</v>
      </c>
    </row>
    <row r="63" spans="1:13" x14ac:dyDescent="0.3">
      <c r="A63">
        <v>63</v>
      </c>
      <c r="B63" t="s">
        <v>172</v>
      </c>
      <c r="C63" t="s">
        <v>90</v>
      </c>
      <c r="D63" t="s">
        <v>243</v>
      </c>
      <c r="E63" s="18">
        <v>153</v>
      </c>
      <c r="F63">
        <f t="shared" si="0"/>
        <v>90</v>
      </c>
      <c r="G63">
        <v>151.96</v>
      </c>
      <c r="H63">
        <f>(G63-(A63*'Atomic Particles'!C1))/'Atomic Particles'!C2+A63</f>
        <v>150.74117759728327</v>
      </c>
      <c r="J63">
        <f>(('Atomic Particles'!C1)*A63)+(('Atomic Particles'!C2)*Elements!F63)</f>
        <v>154.23839717518595</v>
      </c>
      <c r="K63" s="17">
        <f>(E63^(1/3))*Constants!B2</f>
        <v>6.685601551549203E-15</v>
      </c>
      <c r="L63" s="15">
        <v>63</v>
      </c>
    </row>
    <row r="64" spans="1:13" x14ac:dyDescent="0.3">
      <c r="A64">
        <v>64</v>
      </c>
      <c r="B64" t="s">
        <v>470</v>
      </c>
      <c r="C64" t="s">
        <v>91</v>
      </c>
      <c r="D64" t="s">
        <v>243</v>
      </c>
      <c r="E64" s="18">
        <v>152</v>
      </c>
      <c r="F64">
        <f t="shared" si="0"/>
        <v>88</v>
      </c>
      <c r="G64">
        <v>157.25</v>
      </c>
      <c r="H64">
        <f>(G64-(A64*'Atomic Particles'!C1))/'Atomic Particles'!C2+A64</f>
        <v>155.98710551551738</v>
      </c>
      <c r="J64">
        <f>(('Atomic Particles'!C1)*A64)+(('Atomic Particles'!C2)*Elements!F64)</f>
        <v>153.22834255017247</v>
      </c>
      <c r="K64" s="17">
        <f>(E64^(1/3))*Constants!B2</f>
        <v>6.6710041218048623E-15</v>
      </c>
      <c r="L64" s="15">
        <v>64</v>
      </c>
    </row>
    <row r="65" spans="1:12" x14ac:dyDescent="0.3">
      <c r="A65">
        <v>65</v>
      </c>
      <c r="B65" t="s">
        <v>471</v>
      </c>
      <c r="C65" t="s">
        <v>92</v>
      </c>
      <c r="D65" t="s">
        <v>243</v>
      </c>
      <c r="E65" s="18">
        <v>159</v>
      </c>
      <c r="F65">
        <f>E65-A65</f>
        <v>94</v>
      </c>
      <c r="G65">
        <v>158.93</v>
      </c>
      <c r="H65">
        <f>(G65-(A65*'Atomic Particles'!C1))/'Atomic Particles'!C2+A65</f>
        <v>157.65404862696869</v>
      </c>
      <c r="J65">
        <f>(('Atomic Particles'!C1)*A65)+(('Atomic Particles'!C2)*Elements!F65)</f>
        <v>160.287615278901</v>
      </c>
      <c r="K65" s="17">
        <f>(E65^(1/3))*Constants!B2</f>
        <v>6.7718768937214747E-15</v>
      </c>
      <c r="L65" s="15">
        <v>65</v>
      </c>
    </row>
    <row r="66" spans="1:12" x14ac:dyDescent="0.3">
      <c r="A66">
        <v>66</v>
      </c>
      <c r="B66" t="s">
        <v>174</v>
      </c>
      <c r="C66" t="s">
        <v>93</v>
      </c>
      <c r="D66" t="s">
        <v>243</v>
      </c>
      <c r="E66" s="18">
        <v>161</v>
      </c>
      <c r="F66">
        <f>E66-A66</f>
        <v>95</v>
      </c>
      <c r="G66">
        <v>162.5</v>
      </c>
      <c r="H66">
        <f>(G66-(A66*'Atomic Particles'!C1))/'Atomic Particles'!C2+A66</f>
        <v>161.19475386717886</v>
      </c>
      <c r="J66">
        <f>(('Atomic Particles'!C1)*A66)+(('Atomic Particles'!C2)*Elements!F66)</f>
        <v>162.30355841154082</v>
      </c>
      <c r="K66" s="17">
        <f>(E66^(1/3))*Constants!B2</f>
        <v>6.800152281768497E-15</v>
      </c>
      <c r="L66" s="15">
        <v>66</v>
      </c>
    </row>
    <row r="67" spans="1:12" x14ac:dyDescent="0.3">
      <c r="A67">
        <v>67</v>
      </c>
      <c r="B67" t="s">
        <v>175</v>
      </c>
      <c r="C67" t="s">
        <v>94</v>
      </c>
      <c r="D67" t="s">
        <v>243</v>
      </c>
      <c r="E67" s="18">
        <v>165</v>
      </c>
      <c r="F67">
        <f t="shared" ref="F67:F118" si="1">E67-A67</f>
        <v>98</v>
      </c>
      <c r="G67">
        <v>164.93</v>
      </c>
      <c r="H67">
        <f>(G67-(A67*'Atomic Particles'!C1))/'Atomic Particles'!C2+A67</f>
        <v>163.60525337893131</v>
      </c>
      <c r="J67">
        <f>(('Atomic Particles'!C1)*A67)+(('Atomic Particles'!C2)*Elements!F67)</f>
        <v>166.33683338261611</v>
      </c>
      <c r="K67" s="17">
        <f>(E67^(1/3))*Constants!B2</f>
        <v>6.8560081905407723E-15</v>
      </c>
      <c r="L67" s="15">
        <v>67</v>
      </c>
    </row>
    <row r="68" spans="1:12" x14ac:dyDescent="0.3">
      <c r="A68">
        <v>68</v>
      </c>
      <c r="B68" t="s">
        <v>176</v>
      </c>
      <c r="C68" t="s">
        <v>95</v>
      </c>
      <c r="D68" t="s">
        <v>243</v>
      </c>
      <c r="E68" s="18">
        <v>166</v>
      </c>
      <c r="F68">
        <f t="shared" si="1"/>
        <v>98</v>
      </c>
      <c r="G68">
        <v>167.26</v>
      </c>
      <c r="H68">
        <f>(G68-(A68*'Atomic Particles'!C1))/'Atomic Particles'!C2+A68</f>
        <v>165.91661203731024</v>
      </c>
      <c r="J68">
        <f>(('Atomic Particles'!C1)*A68)+(('Atomic Particles'!C2)*Elements!F68)</f>
        <v>167.34411059603815</v>
      </c>
      <c r="K68" s="17">
        <f>(E68^(1/3))*Constants!B2</f>
        <v>6.8698308251187667E-15</v>
      </c>
      <c r="L68" s="15">
        <v>68</v>
      </c>
    </row>
    <row r="69" spans="1:12" x14ac:dyDescent="0.3">
      <c r="A69">
        <v>69</v>
      </c>
      <c r="B69" t="s">
        <v>177</v>
      </c>
      <c r="C69" t="s">
        <v>96</v>
      </c>
      <c r="D69" t="s">
        <v>243</v>
      </c>
      <c r="E69" s="18">
        <v>169</v>
      </c>
      <c r="F69">
        <f t="shared" si="1"/>
        <v>100</v>
      </c>
      <c r="G69">
        <v>168.93</v>
      </c>
      <c r="H69">
        <f>(G69-(A69*'Atomic Particles'!C1))/'Atomic Particles'!C2+A69</f>
        <v>167.57364106342422</v>
      </c>
      <c r="J69">
        <f>(('Atomic Particles'!C1)*A69)+(('Atomic Particles'!C2)*Elements!F69)</f>
        <v>170.36871964789566</v>
      </c>
      <c r="K69" s="17">
        <f>(E69^(1/3))*Constants!B2</f>
        <v>6.9109685170985891E-15</v>
      </c>
      <c r="L69" s="15">
        <v>69</v>
      </c>
    </row>
    <row r="70" spans="1:12" x14ac:dyDescent="0.3">
      <c r="A70">
        <v>70</v>
      </c>
      <c r="B70" t="s">
        <v>178</v>
      </c>
      <c r="C70" t="s">
        <v>97</v>
      </c>
      <c r="D70" t="s">
        <v>243</v>
      </c>
      <c r="E70" s="18">
        <v>171</v>
      </c>
      <c r="F70">
        <f t="shared" si="1"/>
        <v>101</v>
      </c>
      <c r="G70">
        <v>173.05</v>
      </c>
      <c r="H70">
        <f>(G70-(A70*'Atomic Particles'!C1))/'Atomic Particles'!C2+A70</f>
        <v>171.65962099718857</v>
      </c>
      <c r="J70">
        <f>(('Atomic Particles'!C1)*A70)+(('Atomic Particles'!C2)*Elements!F70)</f>
        <v>172.38466278053548</v>
      </c>
      <c r="K70" s="17">
        <f>(E70^(1/3))*Constants!B2</f>
        <v>6.9381238786394336E-15</v>
      </c>
      <c r="L70" s="15">
        <v>70</v>
      </c>
    </row>
    <row r="71" spans="1:12" x14ac:dyDescent="0.3">
      <c r="A71">
        <v>71</v>
      </c>
      <c r="B71" t="s">
        <v>179</v>
      </c>
      <c r="C71" t="s">
        <v>98</v>
      </c>
      <c r="D71" t="s">
        <v>243</v>
      </c>
      <c r="E71" s="18">
        <v>175</v>
      </c>
      <c r="F71">
        <f t="shared" si="1"/>
        <v>104</v>
      </c>
      <c r="G71">
        <v>174.97</v>
      </c>
      <c r="H71">
        <f>(G71-(A71*'Atomic Particles'!C1))/'Atomic Particles'!C2+A71</f>
        <v>173.56450215673624</v>
      </c>
      <c r="J71">
        <f>(('Atomic Particles'!C1)*A71)+(('Atomic Particles'!C2)*Elements!F71)</f>
        <v>176.41793775161076</v>
      </c>
      <c r="K71" s="17">
        <f>(E71^(1/3))*Constants!B2</f>
        <v>6.9918058880087307E-15</v>
      </c>
      <c r="L71" s="15">
        <v>71</v>
      </c>
    </row>
    <row r="72" spans="1:12" x14ac:dyDescent="0.3">
      <c r="A72">
        <v>72</v>
      </c>
      <c r="B72" t="s">
        <v>181</v>
      </c>
      <c r="C72" t="s">
        <v>18</v>
      </c>
      <c r="D72" t="s">
        <v>242</v>
      </c>
      <c r="E72" s="18">
        <v>177</v>
      </c>
      <c r="F72">
        <f t="shared" si="1"/>
        <v>105</v>
      </c>
      <c r="G72">
        <v>178.49</v>
      </c>
      <c r="H72">
        <f>(G72-(A72*'Atomic Particles'!C1))/'Atomic Particles'!C2+A72</f>
        <v>177.05563697025966</v>
      </c>
      <c r="J72">
        <f>(('Atomic Particles'!C1)*A72)+(('Atomic Particles'!C2)*Elements!F72)</f>
        <v>178.43388088425056</v>
      </c>
      <c r="K72" s="17">
        <f>(E72^(1/3))*Constants!B2</f>
        <v>7.0183405100018628E-15</v>
      </c>
      <c r="L72" s="15">
        <v>72</v>
      </c>
    </row>
    <row r="73" spans="1:12" x14ac:dyDescent="0.3">
      <c r="A73">
        <v>73</v>
      </c>
      <c r="B73" t="s">
        <v>182</v>
      </c>
      <c r="C73" t="s">
        <v>21</v>
      </c>
      <c r="D73" t="s">
        <v>242</v>
      </c>
      <c r="E73" s="18">
        <v>180</v>
      </c>
      <c r="F73">
        <f t="shared" si="1"/>
        <v>107</v>
      </c>
      <c r="G73">
        <v>180.95</v>
      </c>
      <c r="H73">
        <f>(G73-(A73*'Atomic Particles'!C1))/'Atomic Particles'!C2+A73</f>
        <v>179.49587873802415</v>
      </c>
      <c r="J73">
        <f>(('Atomic Particles'!C1)*A73)+(('Atomic Particles'!C2)*Elements!F73)</f>
        <v>181.45848993610809</v>
      </c>
      <c r="K73" s="17">
        <f>(E73^(1/3))*Constants!B2</f>
        <v>7.0577702166077138E-15</v>
      </c>
      <c r="L73" s="15">
        <v>73</v>
      </c>
    </row>
    <row r="74" spans="1:12" x14ac:dyDescent="0.3">
      <c r="A74">
        <v>74</v>
      </c>
      <c r="B74" t="s">
        <v>183</v>
      </c>
      <c r="C74" t="s">
        <v>26</v>
      </c>
      <c r="D74" t="s">
        <v>242</v>
      </c>
      <c r="E74" s="18">
        <v>180</v>
      </c>
      <c r="F74">
        <f t="shared" si="1"/>
        <v>106</v>
      </c>
      <c r="G74">
        <v>183.84</v>
      </c>
      <c r="H74">
        <f>(G74-(A74*'Atomic Particles'!C1))/'Atomic Particles'!C2+A74</f>
        <v>182.36242617529462</v>
      </c>
      <c r="J74">
        <f>(('Atomic Particles'!C1)*A74)+(('Atomic Particles'!C2)*Elements!F74)</f>
        <v>181.45710123031236</v>
      </c>
      <c r="K74" s="17">
        <f>(E74^(1/3))*Constants!B2</f>
        <v>7.0577702166077138E-15</v>
      </c>
      <c r="L74" s="15">
        <v>74</v>
      </c>
    </row>
    <row r="75" spans="1:12" x14ac:dyDescent="0.3">
      <c r="A75">
        <v>75</v>
      </c>
      <c r="B75" t="s">
        <v>184</v>
      </c>
      <c r="C75" t="s">
        <v>29</v>
      </c>
      <c r="D75" t="s">
        <v>242</v>
      </c>
      <c r="E75" s="18">
        <v>185</v>
      </c>
      <c r="F75">
        <f t="shared" si="1"/>
        <v>110</v>
      </c>
      <c r="G75">
        <v>186.21</v>
      </c>
      <c r="H75">
        <f>(G75-(A75*'Atomic Particles'!C1))/'Atomic Particles'!C2+A75</f>
        <v>184.71344117502298</v>
      </c>
      <c r="J75">
        <f>(('Atomic Particles'!C1)*A75)+(('Atomic Particles'!C2)*Elements!F75)</f>
        <v>186.49904212060542</v>
      </c>
      <c r="K75" s="17">
        <f>(E75^(1/3))*Constants!B2</f>
        <v>7.1225240191313289E-15</v>
      </c>
      <c r="L75" s="15">
        <v>75</v>
      </c>
    </row>
    <row r="76" spans="1:12" x14ac:dyDescent="0.3">
      <c r="A76">
        <v>76</v>
      </c>
      <c r="B76" t="s">
        <v>185</v>
      </c>
      <c r="C76" t="s">
        <v>34</v>
      </c>
      <c r="D76" t="s">
        <v>242</v>
      </c>
      <c r="E76" s="18">
        <v>188</v>
      </c>
      <c r="F76">
        <f>E76-A76</f>
        <v>112</v>
      </c>
      <c r="G76">
        <v>190.23</v>
      </c>
      <c r="H76">
        <f>(G76-(A76*'Atomic Particles'!C1))/'Atomic Particles'!C2+A76</f>
        <v>188.70028025541382</v>
      </c>
      <c r="J76">
        <f>(('Atomic Particles'!C1)*A76)+(('Atomic Particles'!C2)*Elements!F76)</f>
        <v>189.52365117246296</v>
      </c>
      <c r="K76" s="17">
        <f>(E76^(1/3))*Constants!B2</f>
        <v>7.1608178949780459E-15</v>
      </c>
      <c r="L76" s="15">
        <v>76</v>
      </c>
    </row>
    <row r="77" spans="1:12" x14ac:dyDescent="0.3">
      <c r="A77">
        <v>77</v>
      </c>
      <c r="B77" t="s">
        <v>186</v>
      </c>
      <c r="C77" t="s">
        <v>37</v>
      </c>
      <c r="D77" t="s">
        <v>242</v>
      </c>
      <c r="E77" s="18">
        <v>193</v>
      </c>
      <c r="F77">
        <f>E77-A77</f>
        <v>116</v>
      </c>
      <c r="G77">
        <v>192.22</v>
      </c>
      <c r="H77">
        <f>(G77-(A77*'Atomic Particles'!C1))/'Atomic Particles'!C2+A77</f>
        <v>190.67456001232293</v>
      </c>
      <c r="J77">
        <f>(('Atomic Particles'!C1)*A77)+(('Atomic Particles'!C2)*Elements!F77)</f>
        <v>194.56559206275602</v>
      </c>
      <c r="K77" s="17">
        <f>(E77^(1/3))*Constants!B2</f>
        <v>7.2237457064401617E-15</v>
      </c>
      <c r="L77" s="15">
        <v>77</v>
      </c>
    </row>
    <row r="78" spans="1:12" x14ac:dyDescent="0.3">
      <c r="A78">
        <v>78</v>
      </c>
      <c r="B78" t="s">
        <v>187</v>
      </c>
      <c r="C78" t="s">
        <v>42</v>
      </c>
      <c r="D78" t="s">
        <v>242</v>
      </c>
      <c r="E78" s="18">
        <v>194</v>
      </c>
      <c r="F78">
        <f t="shared" si="1"/>
        <v>116</v>
      </c>
      <c r="G78">
        <v>195.08</v>
      </c>
      <c r="H78">
        <f>(G78-(A78*'Atomic Particles'!C1))/'Atomic Particles'!C2+A78</f>
        <v>193.51136519358138</v>
      </c>
      <c r="J78">
        <f>(('Atomic Particles'!C1)*A78)+(('Atomic Particles'!C2)*Elements!F78)</f>
        <v>195.57286927617804</v>
      </c>
      <c r="K78" s="17">
        <f>(E78^(1/3))*Constants!B2</f>
        <v>7.2362004650780036E-15</v>
      </c>
      <c r="L78" s="15">
        <v>78</v>
      </c>
    </row>
    <row r="79" spans="1:12" x14ac:dyDescent="0.3">
      <c r="A79">
        <v>79</v>
      </c>
      <c r="B79" t="s">
        <v>188</v>
      </c>
      <c r="C79" t="s">
        <v>45</v>
      </c>
      <c r="D79" t="s">
        <v>242</v>
      </c>
      <c r="E79" s="18">
        <v>197</v>
      </c>
      <c r="F79">
        <f t="shared" si="1"/>
        <v>118</v>
      </c>
      <c r="G79">
        <v>196.97</v>
      </c>
      <c r="H79">
        <f>(G79-(A79*'Atomic Particles'!C1))/'Atomic Particles'!C2+A79</f>
        <v>195.38650409711698</v>
      </c>
      <c r="J79">
        <f>(('Atomic Particles'!C1)*A79)+(('Atomic Particles'!C2)*Elements!F79)</f>
        <v>198.59747832803561</v>
      </c>
      <c r="K79" s="17">
        <f>(E79^(1/3))*Constants!B2</f>
        <v>7.2733098343712004E-15</v>
      </c>
      <c r="L79" s="15">
        <v>79</v>
      </c>
    </row>
    <row r="80" spans="1:12" x14ac:dyDescent="0.3">
      <c r="A80">
        <v>80</v>
      </c>
      <c r="B80" t="s">
        <v>189</v>
      </c>
      <c r="C80" t="s">
        <v>50</v>
      </c>
      <c r="D80" t="s">
        <v>242</v>
      </c>
      <c r="E80" s="18">
        <v>196</v>
      </c>
      <c r="F80">
        <f t="shared" si="1"/>
        <v>116</v>
      </c>
      <c r="G80">
        <v>200.59</v>
      </c>
      <c r="H80">
        <f>(G80-(A80*'Atomic Particles'!C1))/'Atomic Particles'!C2+A80</f>
        <v>198.97677976401391</v>
      </c>
      <c r="J80">
        <f>(('Atomic Particles'!C1)*A80)+(('Atomic Particles'!C2)*Elements!F80)</f>
        <v>197.58742370302213</v>
      </c>
      <c r="K80" s="17">
        <f>(E80^(1/3))*Constants!B2</f>
        <v>7.260982166954628E-15</v>
      </c>
      <c r="L80" s="15">
        <v>80</v>
      </c>
    </row>
    <row r="81" spans="1:12" x14ac:dyDescent="0.3">
      <c r="A81">
        <v>81</v>
      </c>
      <c r="B81" t="s">
        <v>190</v>
      </c>
      <c r="C81" t="s">
        <v>233</v>
      </c>
      <c r="D81" t="s">
        <v>241</v>
      </c>
      <c r="E81" s="18">
        <v>205</v>
      </c>
      <c r="F81">
        <f t="shared" si="1"/>
        <v>124</v>
      </c>
      <c r="G81">
        <v>204.38</v>
      </c>
      <c r="H81">
        <f>(G81-(A81*'Atomic Particles'!C1))/'Atomic Particles'!C2+A81</f>
        <v>202.73559488164574</v>
      </c>
      <c r="J81">
        <f>(('Atomic Particles'!C1)*A81)+(('Atomic Particles'!C2)*Elements!F81)</f>
        <v>206.66402827018618</v>
      </c>
      <c r="K81" s="17">
        <f>(E81^(1/3))*Constants!B2</f>
        <v>7.3704606749629592E-15</v>
      </c>
      <c r="L81" s="15">
        <v>81</v>
      </c>
    </row>
    <row r="82" spans="1:12" x14ac:dyDescent="0.3">
      <c r="A82">
        <v>82</v>
      </c>
      <c r="B82" t="s">
        <v>191</v>
      </c>
      <c r="C82" t="s">
        <v>58</v>
      </c>
      <c r="D82" t="s">
        <v>241</v>
      </c>
      <c r="E82" s="18">
        <v>204</v>
      </c>
      <c r="F82">
        <f t="shared" si="1"/>
        <v>122</v>
      </c>
      <c r="G82">
        <v>207.2</v>
      </c>
      <c r="H82">
        <f>(G82-(A82*'Atomic Particles'!C1))/'Atomic Particles'!C2+A82</f>
        <v>205.53274372155477</v>
      </c>
      <c r="J82">
        <f>(('Atomic Particles'!C1)*A82)+(('Atomic Particles'!C2)*Elements!F82)</f>
        <v>205.6539736451727</v>
      </c>
      <c r="K82" s="17">
        <f>(E82^(1/3))*Constants!B2</f>
        <v>7.3584566461041693E-15</v>
      </c>
      <c r="L82" s="15">
        <v>82</v>
      </c>
    </row>
    <row r="83" spans="1:12" x14ac:dyDescent="0.3">
      <c r="A83">
        <v>83</v>
      </c>
      <c r="B83" t="s">
        <v>192</v>
      </c>
      <c r="C83" t="s">
        <v>67</v>
      </c>
      <c r="D83" t="s">
        <v>241</v>
      </c>
      <c r="E83" s="18">
        <v>209</v>
      </c>
      <c r="F83">
        <f t="shared" si="1"/>
        <v>126</v>
      </c>
      <c r="G83">
        <v>208.98</v>
      </c>
      <c r="H83">
        <f>(G83-(A83*'Atomic Particles'!C1))/'Atomic Particles'!C2+A83</f>
        <v>207.29882768637958</v>
      </c>
      <c r="J83">
        <f>(('Atomic Particles'!C1)*A83)+(('Atomic Particles'!C2)*Elements!F83)</f>
        <v>210.69591453546573</v>
      </c>
      <c r="K83" s="17">
        <f>(E83^(1/3))*Constants!B2</f>
        <v>7.418090175499927E-15</v>
      </c>
      <c r="L83" s="15">
        <v>83</v>
      </c>
    </row>
    <row r="84" spans="1:12" x14ac:dyDescent="0.3">
      <c r="A84">
        <v>84</v>
      </c>
      <c r="B84" t="s">
        <v>193</v>
      </c>
      <c r="C84" t="s">
        <v>234</v>
      </c>
      <c r="D84" t="s">
        <v>241</v>
      </c>
      <c r="E84" s="18">
        <v>209</v>
      </c>
      <c r="F84">
        <f t="shared" si="1"/>
        <v>125</v>
      </c>
      <c r="G84">
        <v>209</v>
      </c>
      <c r="H84">
        <f>(G84-(A84*'Atomic Particles'!C1))/'Atomic Particles'!C2+A84</f>
        <v>207.320032631831</v>
      </c>
      <c r="J84">
        <f>(('Atomic Particles'!C1)*A84)+(('Atomic Particles'!C2)*Elements!F84)</f>
        <v>210.69452582967003</v>
      </c>
      <c r="K84" s="17">
        <f>(E84^(1/3))*Constants!B2</f>
        <v>7.418090175499927E-15</v>
      </c>
      <c r="L84" s="15">
        <v>84</v>
      </c>
    </row>
    <row r="85" spans="1:12" x14ac:dyDescent="0.3">
      <c r="A85">
        <v>85</v>
      </c>
      <c r="B85" t="s">
        <v>194</v>
      </c>
      <c r="C85" t="s">
        <v>74</v>
      </c>
      <c r="D85" t="s">
        <v>240</v>
      </c>
      <c r="E85" s="18">
        <v>210</v>
      </c>
      <c r="F85">
        <f t="shared" si="1"/>
        <v>125</v>
      </c>
      <c r="G85">
        <v>210</v>
      </c>
      <c r="H85">
        <f>(G85-(A85*'Atomic Particles'!C1))/'Atomic Particles'!C2+A85</f>
        <v>208.3128179403426</v>
      </c>
      <c r="J85">
        <f>(('Atomic Particles'!C1)*A85)+(('Atomic Particles'!C2)*Elements!F85)</f>
        <v>211.70180304309207</v>
      </c>
      <c r="K85" s="17">
        <f>(E85^(1/3))*Constants!B2</f>
        <v>7.429902440953911E-15</v>
      </c>
      <c r="L85" s="15">
        <v>85</v>
      </c>
    </row>
    <row r="86" spans="1:12" x14ac:dyDescent="0.3">
      <c r="A86">
        <v>86</v>
      </c>
      <c r="B86" t="s">
        <v>195</v>
      </c>
      <c r="C86" t="s">
        <v>77</v>
      </c>
      <c r="D86" t="s">
        <v>236</v>
      </c>
      <c r="E86" s="18">
        <v>222</v>
      </c>
      <c r="F86">
        <f t="shared" si="1"/>
        <v>136</v>
      </c>
      <c r="G86">
        <v>222</v>
      </c>
      <c r="H86">
        <f>(G86-(A86*'Atomic Particles'!C1))/'Atomic Particles'!C2+A86</f>
        <v>220.21109711993765</v>
      </c>
      <c r="J86">
        <f>(('Atomic Particles'!C1)*A86)+(('Atomic Particles'!C2)*Elements!F86)</f>
        <v>223.80440536790937</v>
      </c>
      <c r="K86" s="17">
        <f>(E86^(1/3))*Constants!B2</f>
        <v>7.5688111831388797E-15</v>
      </c>
      <c r="L86" s="15">
        <v>86</v>
      </c>
    </row>
    <row r="87" spans="1:12" x14ac:dyDescent="0.3">
      <c r="A87">
        <v>87</v>
      </c>
      <c r="B87" t="s">
        <v>196</v>
      </c>
      <c r="C87" t="s">
        <v>7</v>
      </c>
      <c r="D87" t="s">
        <v>237</v>
      </c>
      <c r="E87" s="18">
        <v>223</v>
      </c>
      <c r="F87">
        <f t="shared" si="1"/>
        <v>136</v>
      </c>
      <c r="G87">
        <v>223</v>
      </c>
      <c r="H87">
        <f>(G87-(A87*'Atomic Particles'!C1))/'Atomic Particles'!C2+A87</f>
        <v>221.20388242844925</v>
      </c>
      <c r="J87">
        <f>(('Atomic Particles'!C1)*A87)+(('Atomic Particles'!C2)*Elements!F87)</f>
        <v>224.81168258133141</v>
      </c>
      <c r="K87" s="17">
        <f>(E87^(1/3))*Constants!B2</f>
        <v>7.5801587431337018E-15</v>
      </c>
      <c r="L87" s="15">
        <v>87</v>
      </c>
    </row>
    <row r="88" spans="1:12" x14ac:dyDescent="0.3">
      <c r="A88">
        <v>88</v>
      </c>
      <c r="B88" t="s">
        <v>197</v>
      </c>
      <c r="C88" t="s">
        <v>13</v>
      </c>
      <c r="D88" t="s">
        <v>238</v>
      </c>
      <c r="E88" s="18">
        <v>226</v>
      </c>
      <c r="F88">
        <f t="shared" si="1"/>
        <v>138</v>
      </c>
      <c r="G88">
        <v>226</v>
      </c>
      <c r="H88">
        <f>(G88-(A88*'Atomic Particles'!C1))/'Atomic Particles'!C2+A88</f>
        <v>224.17948480443056</v>
      </c>
      <c r="J88">
        <f>(('Atomic Particles'!C1)*A88)+(('Atomic Particles'!C2)*Elements!F88)</f>
        <v>227.83629163318895</v>
      </c>
      <c r="K88" s="17">
        <f>(E88^(1/3))*Constants!B2</f>
        <v>7.613999186149732E-15</v>
      </c>
      <c r="L88" s="15">
        <v>88</v>
      </c>
    </row>
    <row r="89" spans="1:12" x14ac:dyDescent="0.3">
      <c r="A89">
        <v>89</v>
      </c>
      <c r="B89" t="s">
        <v>180</v>
      </c>
      <c r="C89" t="s">
        <v>84</v>
      </c>
      <c r="D89" t="s">
        <v>244</v>
      </c>
      <c r="E89" s="18">
        <v>227</v>
      </c>
      <c r="F89">
        <f t="shared" si="1"/>
        <v>138</v>
      </c>
      <c r="G89">
        <v>227</v>
      </c>
      <c r="H89">
        <f>(G89-(A89*'Atomic Particles'!C1))/'Atomic Particles'!C2+A89</f>
        <v>225.17227011294213</v>
      </c>
      <c r="J89">
        <f>(('Atomic Particles'!C1)*A89)+(('Atomic Particles'!C2)*Elements!F89)</f>
        <v>228.84356884661099</v>
      </c>
      <c r="K89" s="17">
        <f>(E89^(1/3))*Constants!B2</f>
        <v>7.6252127504913264E-15</v>
      </c>
      <c r="L89" s="15">
        <v>89</v>
      </c>
    </row>
    <row r="90" spans="1:12" x14ac:dyDescent="0.3">
      <c r="A90">
        <v>90</v>
      </c>
      <c r="B90" t="s">
        <v>198</v>
      </c>
      <c r="C90" t="s">
        <v>99</v>
      </c>
      <c r="D90" t="s">
        <v>244</v>
      </c>
      <c r="E90" s="18">
        <v>230</v>
      </c>
      <c r="F90">
        <f t="shared" si="1"/>
        <v>140</v>
      </c>
      <c r="G90">
        <v>232.04</v>
      </c>
      <c r="H90">
        <f>(G90-(A90*'Atomic Particles'!C1))/'Atomic Particles'!C2+A90</f>
        <v>230.17034589774255</v>
      </c>
      <c r="J90">
        <f>(('Atomic Particles'!C1)*A90)+(('Atomic Particles'!C2)*Elements!F90)</f>
        <v>231.8681778984685</v>
      </c>
      <c r="K90" s="17">
        <f>(E90^(1/3))*Constants!B2</f>
        <v>7.6586570940355215E-15</v>
      </c>
      <c r="L90" s="15">
        <v>90</v>
      </c>
    </row>
    <row r="91" spans="1:12" x14ac:dyDescent="0.3">
      <c r="A91">
        <v>91</v>
      </c>
      <c r="B91" t="s">
        <v>199</v>
      </c>
      <c r="C91" t="s">
        <v>100</v>
      </c>
      <c r="D91" t="s">
        <v>244</v>
      </c>
      <c r="E91" s="18">
        <v>231</v>
      </c>
      <c r="F91">
        <f t="shared" si="1"/>
        <v>140</v>
      </c>
      <c r="G91">
        <v>231.04</v>
      </c>
      <c r="H91">
        <f>(G91-(A91*'Atomic Particles'!C1))/'Atomic Particles'!C2+A91</f>
        <v>229.18031413878444</v>
      </c>
      <c r="J91">
        <f>(('Atomic Particles'!C1)*A91)+(('Atomic Particles'!C2)*Elements!F91)</f>
        <v>232.87545511189057</v>
      </c>
      <c r="K91" s="17">
        <f>(E91^(1/3))*Constants!B2</f>
        <v>7.669740549577448E-15</v>
      </c>
      <c r="L91" s="15">
        <v>91</v>
      </c>
    </row>
    <row r="92" spans="1:12" x14ac:dyDescent="0.3">
      <c r="A92">
        <v>92</v>
      </c>
      <c r="B92" t="s">
        <v>200</v>
      </c>
      <c r="C92" t="s">
        <v>101</v>
      </c>
      <c r="D92" t="s">
        <v>244</v>
      </c>
      <c r="E92" s="18">
        <v>234</v>
      </c>
      <c r="F92">
        <f t="shared" si="1"/>
        <v>142</v>
      </c>
      <c r="G92">
        <v>238.03</v>
      </c>
      <c r="H92">
        <f>(G92-(A92*'Atomic Particles'!C1))/'Atomic Particles'!C2+A92</f>
        <v>236.11163656436784</v>
      </c>
      <c r="J92">
        <f>(('Atomic Particles'!C1)*A92)+(('Atomic Particles'!C2)*Elements!F92)</f>
        <v>235.90006416374808</v>
      </c>
      <c r="K92" s="17">
        <f>(E92^(1/3))*Constants!B2</f>
        <v>7.7028001846862996E-15</v>
      </c>
      <c r="L92" s="15">
        <v>92</v>
      </c>
    </row>
    <row r="93" spans="1:12" x14ac:dyDescent="0.3">
      <c r="A93">
        <v>93</v>
      </c>
      <c r="B93" t="s">
        <v>201</v>
      </c>
      <c r="C93" t="s">
        <v>102</v>
      </c>
      <c r="D93" t="s">
        <v>244</v>
      </c>
      <c r="F93">
        <f t="shared" si="1"/>
        <v>-93</v>
      </c>
      <c r="G93">
        <v>237</v>
      </c>
      <c r="H93">
        <f>(G93-(A93*'Atomic Particles'!C1))/'Atomic Particles'!C2+A93</f>
        <v>235.09186254939763</v>
      </c>
      <c r="J93">
        <f>(('Atomic Particles'!C1)*A93)+(('Atomic Particles'!C2)*Elements!F93)</f>
        <v>-0.1291496390017528</v>
      </c>
      <c r="K93" s="17">
        <f>(E93^(1/3))*Constants!B2</f>
        <v>0</v>
      </c>
      <c r="L93" s="15">
        <v>93</v>
      </c>
    </row>
    <row r="94" spans="1:12" x14ac:dyDescent="0.3">
      <c r="A94">
        <v>94</v>
      </c>
      <c r="B94" t="s">
        <v>202</v>
      </c>
      <c r="C94" t="s">
        <v>103</v>
      </c>
      <c r="D94" t="s">
        <v>244</v>
      </c>
      <c r="F94">
        <f t="shared" si="1"/>
        <v>-94</v>
      </c>
      <c r="G94">
        <v>244</v>
      </c>
      <c r="H94">
        <f>(G94-(A94*'Atomic Particles'!C1))/'Atomic Particles'!C2+A94</f>
        <v>242.03309906031839</v>
      </c>
      <c r="J94">
        <f>(('Atomic Particles'!C1)*A94)+(('Atomic Particles'!C2)*Elements!F94)</f>
        <v>-0.13053834479747195</v>
      </c>
      <c r="K94" s="17">
        <f>(E94^(1/3))*Constants!B2</f>
        <v>0</v>
      </c>
      <c r="L94" s="15">
        <v>94</v>
      </c>
    </row>
    <row r="95" spans="1:12" x14ac:dyDescent="0.3">
      <c r="A95">
        <v>95</v>
      </c>
      <c r="B95" t="s">
        <v>203</v>
      </c>
      <c r="C95" t="s">
        <v>104</v>
      </c>
      <c r="D95" t="s">
        <v>244</v>
      </c>
      <c r="F95">
        <f t="shared" si="1"/>
        <v>-95</v>
      </c>
      <c r="G95">
        <v>243</v>
      </c>
      <c r="H95">
        <f>(G95-(A95*'Atomic Particles'!C1))/'Atomic Particles'!C2+A95</f>
        <v>241.04306730136028</v>
      </c>
      <c r="J95">
        <f>(('Atomic Particles'!C1)*A95)+(('Atomic Particles'!C2)*Elements!F95)</f>
        <v>-0.1319270505931911</v>
      </c>
      <c r="K95" s="17">
        <f>(E95^(1/3))*Constants!B2</f>
        <v>0</v>
      </c>
      <c r="L95" s="15">
        <v>95</v>
      </c>
    </row>
    <row r="96" spans="1:12" x14ac:dyDescent="0.3">
      <c r="A96">
        <v>96</v>
      </c>
      <c r="B96" t="s">
        <v>204</v>
      </c>
      <c r="C96" t="s">
        <v>105</v>
      </c>
      <c r="D96" t="s">
        <v>244</v>
      </c>
      <c r="F96">
        <f t="shared" si="1"/>
        <v>-96</v>
      </c>
      <c r="G96">
        <v>247</v>
      </c>
      <c r="H96">
        <f>(G96-(A96*'Atomic Particles'!C1))/'Atomic Particles'!C2+A96</f>
        <v>245.01007821107643</v>
      </c>
      <c r="J96">
        <f>(('Atomic Particles'!C1)*A96)+(('Atomic Particles'!C2)*Elements!F96)</f>
        <v>-0.13331575638891024</v>
      </c>
      <c r="K96" s="17">
        <f>(E96^(1/3))*Constants!B2</f>
        <v>0</v>
      </c>
      <c r="L96" s="15">
        <v>96</v>
      </c>
    </row>
    <row r="97" spans="1:12" x14ac:dyDescent="0.3">
      <c r="A97">
        <v>97</v>
      </c>
      <c r="B97" t="s">
        <v>205</v>
      </c>
      <c r="C97" t="s">
        <v>106</v>
      </c>
      <c r="D97" t="s">
        <v>244</v>
      </c>
      <c r="F97">
        <f t="shared" si="1"/>
        <v>-97</v>
      </c>
      <c r="G97">
        <v>247</v>
      </c>
      <c r="H97">
        <f>(G97-(A97*'Atomic Particles'!C1))/'Atomic Particles'!C2+A97</f>
        <v>245.01145498585316</v>
      </c>
      <c r="J97">
        <f>(('Atomic Particles'!C1)*A97)+(('Atomic Particles'!C2)*Elements!F97)</f>
        <v>-0.13470446218462939</v>
      </c>
      <c r="K97" s="17">
        <f>(E97^(1/3))*Constants!B98</f>
        <v>0</v>
      </c>
      <c r="L97" s="15">
        <v>97</v>
      </c>
    </row>
    <row r="98" spans="1:12" x14ac:dyDescent="0.3">
      <c r="A98">
        <v>98</v>
      </c>
      <c r="B98" t="s">
        <v>206</v>
      </c>
      <c r="C98" t="s">
        <v>107</v>
      </c>
      <c r="D98" t="s">
        <v>244</v>
      </c>
      <c r="F98">
        <f t="shared" si="1"/>
        <v>-98</v>
      </c>
      <c r="G98">
        <v>251</v>
      </c>
      <c r="H98">
        <f>(G98-(A98*'Atomic Particles'!C1))/'Atomic Particles'!C2+A98</f>
        <v>248.97846589556934</v>
      </c>
      <c r="J98">
        <f>(('Atomic Particles'!C1)*A98)+(('Atomic Particles'!C2)*Elements!F98)</f>
        <v>-0.13609316798034854</v>
      </c>
      <c r="K98" s="17">
        <f>(E98^(1/3))*Constants!B99</f>
        <v>0</v>
      </c>
      <c r="L98" s="15">
        <v>98</v>
      </c>
    </row>
    <row r="99" spans="1:12" x14ac:dyDescent="0.3">
      <c r="A99">
        <v>99</v>
      </c>
      <c r="B99" t="s">
        <v>207</v>
      </c>
      <c r="C99" t="s">
        <v>108</v>
      </c>
      <c r="D99" t="s">
        <v>244</v>
      </c>
      <c r="F99">
        <f t="shared" si="1"/>
        <v>-99</v>
      </c>
      <c r="G99">
        <v>252</v>
      </c>
      <c r="H99">
        <f>(G99-(A99*'Atomic Particles'!C1))/'Atomic Particles'!C2+A99</f>
        <v>249.97125120408094</v>
      </c>
      <c r="J99">
        <f>(('Atomic Particles'!C1)*A99)+(('Atomic Particles'!C2)*Elements!F99)</f>
        <v>-0.13748187377606769</v>
      </c>
      <c r="K99" s="17">
        <f>(E99^(1/3))*Constants!B100</f>
        <v>0</v>
      </c>
      <c r="L99" s="15">
        <v>99</v>
      </c>
    </row>
    <row r="100" spans="1:12" x14ac:dyDescent="0.3">
      <c r="A100">
        <v>100</v>
      </c>
      <c r="B100" t="s">
        <v>208</v>
      </c>
      <c r="C100" t="s">
        <v>109</v>
      </c>
      <c r="D100" t="s">
        <v>244</v>
      </c>
      <c r="F100">
        <f t="shared" si="1"/>
        <v>-100</v>
      </c>
      <c r="G100">
        <v>257</v>
      </c>
      <c r="H100">
        <f>(G100-(A100*'Atomic Particles'!C1))/'Atomic Particles'!C2+A100</f>
        <v>254.92967064753196</v>
      </c>
      <c r="J100">
        <f>(('Atomic Particles'!C1)*A100)+(('Atomic Particles'!C2)*Elements!F100)</f>
        <v>-0.13887057957177262</v>
      </c>
      <c r="K100" s="17">
        <f>(E100^(1/3))*Constants!B101</f>
        <v>0</v>
      </c>
      <c r="L100" s="15">
        <v>100</v>
      </c>
    </row>
    <row r="101" spans="1:12" x14ac:dyDescent="0.3">
      <c r="A101">
        <v>101</v>
      </c>
      <c r="B101" t="s">
        <v>209</v>
      </c>
      <c r="C101" t="s">
        <v>110</v>
      </c>
      <c r="D101" t="s">
        <v>244</v>
      </c>
      <c r="F101">
        <f t="shared" si="1"/>
        <v>-101</v>
      </c>
      <c r="G101">
        <v>258</v>
      </c>
      <c r="H101">
        <f>(G101-(A101*'Atomic Particles'!C1))/'Atomic Particles'!C2+A101</f>
        <v>255.92245595604356</v>
      </c>
      <c r="J101">
        <f>(('Atomic Particles'!C1)*A101)+(('Atomic Particles'!C2)*Elements!F101)</f>
        <v>-0.14025928536750598</v>
      </c>
      <c r="K101" s="17">
        <f>(E101^(1/3))*Constants!B102</f>
        <v>0</v>
      </c>
      <c r="L101" s="15">
        <v>101</v>
      </c>
    </row>
    <row r="102" spans="1:12" x14ac:dyDescent="0.3">
      <c r="A102">
        <v>102</v>
      </c>
      <c r="B102" t="s">
        <v>210</v>
      </c>
      <c r="C102" t="s">
        <v>111</v>
      </c>
      <c r="D102" t="s">
        <v>244</v>
      </c>
      <c r="F102">
        <f t="shared" si="1"/>
        <v>-102</v>
      </c>
      <c r="G102">
        <v>259</v>
      </c>
      <c r="H102">
        <f>(G102-(A102*'Atomic Particles'!C1))/'Atomic Particles'!C2+A102</f>
        <v>256.91524126455511</v>
      </c>
      <c r="J102">
        <f>(('Atomic Particles'!C1)*A102)+(('Atomic Particles'!C2)*Elements!F102)</f>
        <v>-0.14164799116321092</v>
      </c>
      <c r="K102" s="17">
        <f>(E102^(1/3))*Constants!B103</f>
        <v>0</v>
      </c>
      <c r="L102" s="15">
        <v>102</v>
      </c>
    </row>
    <row r="103" spans="1:12" x14ac:dyDescent="0.3">
      <c r="A103">
        <v>103</v>
      </c>
      <c r="B103" t="s">
        <v>211</v>
      </c>
      <c r="C103" t="s">
        <v>112</v>
      </c>
      <c r="D103" t="s">
        <v>244</v>
      </c>
      <c r="F103">
        <f t="shared" si="1"/>
        <v>-103</v>
      </c>
      <c r="G103">
        <v>266</v>
      </c>
      <c r="H103">
        <f>(G103-(A103*'Atomic Particles'!C1))/'Atomic Particles'!C2+A103</f>
        <v>263.85647777547592</v>
      </c>
      <c r="J103">
        <f>(('Atomic Particles'!C1)*A103)+(('Atomic Particles'!C2)*Elements!F103)</f>
        <v>-0.14303669695893007</v>
      </c>
      <c r="K103" s="17">
        <f>(E103^(1/3))*Constants!B104</f>
        <v>0</v>
      </c>
      <c r="L103" s="15">
        <v>103</v>
      </c>
    </row>
    <row r="104" spans="1:12" x14ac:dyDescent="0.3">
      <c r="A104">
        <v>104</v>
      </c>
      <c r="B104" t="s">
        <v>212</v>
      </c>
      <c r="C104" t="s">
        <v>19</v>
      </c>
      <c r="D104" t="s">
        <v>245</v>
      </c>
      <c r="F104">
        <f t="shared" si="1"/>
        <v>-104</v>
      </c>
      <c r="G104">
        <v>267</v>
      </c>
      <c r="H104">
        <f>(G104-(A104*'Atomic Particles'!C1))/'Atomic Particles'!C2+A104</f>
        <v>264.84926308398747</v>
      </c>
      <c r="J104">
        <f>(('Atomic Particles'!C1)*A104)+(('Atomic Particles'!C2)*Elements!F104)</f>
        <v>-0.14442540275464921</v>
      </c>
      <c r="K104" s="17">
        <f>(E104^(1/3))*Constants!B105</f>
        <v>0</v>
      </c>
      <c r="L104" s="15">
        <v>104</v>
      </c>
    </row>
    <row r="105" spans="1:12" x14ac:dyDescent="0.3">
      <c r="A105">
        <v>105</v>
      </c>
      <c r="B105" t="s">
        <v>213</v>
      </c>
      <c r="C105" t="s">
        <v>20</v>
      </c>
      <c r="D105" t="s">
        <v>245</v>
      </c>
      <c r="F105">
        <f t="shared" si="1"/>
        <v>-105</v>
      </c>
      <c r="G105">
        <v>268</v>
      </c>
      <c r="H105">
        <f>(G105-(A105*'Atomic Particles'!C1))/'Atomic Particles'!C2+A105</f>
        <v>265.84204839249901</v>
      </c>
      <c r="J105">
        <f>(('Atomic Particles'!C1)*A105)+(('Atomic Particles'!C2)*Elements!F105)</f>
        <v>-0.14581410855036836</v>
      </c>
      <c r="K105" s="17">
        <f>(E105^(1/3))*Constants!B106</f>
        <v>0</v>
      </c>
      <c r="L105" s="15">
        <v>105</v>
      </c>
    </row>
    <row r="106" spans="1:12" x14ac:dyDescent="0.3">
      <c r="A106">
        <v>106</v>
      </c>
      <c r="B106" t="s">
        <v>214</v>
      </c>
      <c r="C106" t="s">
        <v>27</v>
      </c>
      <c r="D106" t="s">
        <v>245</v>
      </c>
      <c r="F106">
        <f t="shared" si="1"/>
        <v>-106</v>
      </c>
      <c r="G106">
        <v>269</v>
      </c>
      <c r="H106">
        <f>(G106-(A106*'Atomic Particles'!C1))/'Atomic Particles'!C2+A106</f>
        <v>266.83483370101067</v>
      </c>
      <c r="J106">
        <f>(('Atomic Particles'!C1)*A106)+(('Atomic Particles'!C2)*Elements!F106)</f>
        <v>-0.14720281434608751</v>
      </c>
      <c r="K106" s="17">
        <f>(E106^(1/3))*Constants!B107</f>
        <v>0</v>
      </c>
      <c r="L106" s="15">
        <v>106</v>
      </c>
    </row>
    <row r="107" spans="1:12" x14ac:dyDescent="0.3">
      <c r="A107">
        <v>107</v>
      </c>
      <c r="B107" t="s">
        <v>215</v>
      </c>
      <c r="C107" t="s">
        <v>28</v>
      </c>
      <c r="D107" t="s">
        <v>245</v>
      </c>
      <c r="F107">
        <f t="shared" si="1"/>
        <v>-107</v>
      </c>
      <c r="G107">
        <v>270</v>
      </c>
      <c r="H107">
        <f>(G107-(A107*'Atomic Particles'!C1))/'Atomic Particles'!C2+A107</f>
        <v>267.82761900952221</v>
      </c>
      <c r="J107">
        <f>(('Atomic Particles'!C1)*A107)+(('Atomic Particles'!C2)*Elements!F107)</f>
        <v>-0.14859152014180665</v>
      </c>
      <c r="K107" s="17">
        <f>(E107^(1/3))*Constants!B108</f>
        <v>0</v>
      </c>
      <c r="L107" s="15">
        <v>107</v>
      </c>
    </row>
    <row r="108" spans="1:12" x14ac:dyDescent="0.3">
      <c r="A108">
        <v>108</v>
      </c>
      <c r="B108" t="s">
        <v>216</v>
      </c>
      <c r="C108" t="s">
        <v>35</v>
      </c>
      <c r="D108" t="s">
        <v>245</v>
      </c>
      <c r="F108">
        <f t="shared" si="1"/>
        <v>-108</v>
      </c>
      <c r="G108">
        <v>277</v>
      </c>
      <c r="H108">
        <f>(G108-(A108*'Atomic Particles'!C1))/'Atomic Particles'!C2+A108</f>
        <v>274.76885552044303</v>
      </c>
      <c r="J108">
        <f>(('Atomic Particles'!C1)*A108)+(('Atomic Particles'!C2)*Elements!F108)</f>
        <v>-0.1499802259375258</v>
      </c>
      <c r="K108" s="17">
        <f>(E108^(1/3))*Constants!B109</f>
        <v>0</v>
      </c>
      <c r="L108" s="15">
        <v>108</v>
      </c>
    </row>
    <row r="109" spans="1:12" x14ac:dyDescent="0.3">
      <c r="A109">
        <v>109</v>
      </c>
      <c r="B109" t="s">
        <v>217</v>
      </c>
      <c r="C109" t="s">
        <v>36</v>
      </c>
      <c r="D109" t="s">
        <v>246</v>
      </c>
      <c r="F109">
        <f t="shared" si="1"/>
        <v>-109</v>
      </c>
      <c r="G109">
        <v>278</v>
      </c>
      <c r="H109">
        <f>(G109-(A109*'Atomic Particles'!C1))/'Atomic Particles'!C2+A109</f>
        <v>275.76164082895457</v>
      </c>
      <c r="J109">
        <f>(('Atomic Particles'!C1)*A109)+(('Atomic Particles'!C2)*Elements!F109)</f>
        <v>-0.15136893173323074</v>
      </c>
      <c r="K109" s="17">
        <f>(E109^(1/3))*Constants!B110</f>
        <v>0</v>
      </c>
      <c r="L109" s="15">
        <v>109</v>
      </c>
    </row>
    <row r="110" spans="1:12" x14ac:dyDescent="0.3">
      <c r="A110">
        <v>110</v>
      </c>
      <c r="B110" t="s">
        <v>218</v>
      </c>
      <c r="C110" t="s">
        <v>43</v>
      </c>
      <c r="D110" t="s">
        <v>246</v>
      </c>
      <c r="F110">
        <f t="shared" si="1"/>
        <v>-110</v>
      </c>
      <c r="G110">
        <v>281</v>
      </c>
      <c r="H110">
        <f>(G110-(A110*'Atomic Particles'!C1))/'Atomic Particles'!C2+A110</f>
        <v>278.73724320493591</v>
      </c>
      <c r="J110">
        <f>(('Atomic Particles'!C1)*A110)+(('Atomic Particles'!C2)*Elements!F110)</f>
        <v>-0.1527576375289641</v>
      </c>
      <c r="K110" s="17">
        <f>(E110^(1/3))*Constants!B111</f>
        <v>0</v>
      </c>
      <c r="L110" s="15">
        <v>110</v>
      </c>
    </row>
    <row r="111" spans="1:12" x14ac:dyDescent="0.3">
      <c r="A111">
        <v>111</v>
      </c>
      <c r="B111" t="s">
        <v>219</v>
      </c>
      <c r="C111" t="s">
        <v>44</v>
      </c>
      <c r="D111" t="s">
        <v>246</v>
      </c>
      <c r="F111">
        <f t="shared" si="1"/>
        <v>-111</v>
      </c>
      <c r="G111">
        <v>282</v>
      </c>
      <c r="H111">
        <f>(G111-(A111*'Atomic Particles'!C1))/'Atomic Particles'!C2+A111</f>
        <v>279.73002851344745</v>
      </c>
      <c r="J111">
        <f>(('Atomic Particles'!C1)*A111)+(('Atomic Particles'!C2)*Elements!F111)</f>
        <v>-0.15414634332466903</v>
      </c>
      <c r="K111" s="17">
        <f>(E111^(1/3))*Constants!B112</f>
        <v>0</v>
      </c>
      <c r="L111" s="15">
        <v>111</v>
      </c>
    </row>
    <row r="112" spans="1:12" x14ac:dyDescent="0.3">
      <c r="A112">
        <v>112</v>
      </c>
      <c r="B112" t="s">
        <v>220</v>
      </c>
      <c r="C112" t="s">
        <v>51</v>
      </c>
      <c r="D112" t="s">
        <v>246</v>
      </c>
      <c r="F112">
        <f t="shared" si="1"/>
        <v>-112</v>
      </c>
      <c r="G112">
        <v>285</v>
      </c>
      <c r="H112">
        <f>(G112-(A112*'Atomic Particles'!C1))/'Atomic Particles'!C2+A112</f>
        <v>282.70563088942879</v>
      </c>
      <c r="J112">
        <f>(('Atomic Particles'!C1)*A112)+(('Atomic Particles'!C2)*Elements!F112)</f>
        <v>-0.15553504912038818</v>
      </c>
      <c r="K112" s="17">
        <f>(E112^(1/3))*Constants!B113</f>
        <v>0</v>
      </c>
      <c r="L112" s="15">
        <v>112</v>
      </c>
    </row>
    <row r="113" spans="1:23" x14ac:dyDescent="0.3">
      <c r="A113">
        <v>113</v>
      </c>
      <c r="B113" t="s">
        <v>221</v>
      </c>
      <c r="C113" t="s">
        <v>56</v>
      </c>
      <c r="D113" t="s">
        <v>247</v>
      </c>
      <c r="F113">
        <f t="shared" si="1"/>
        <v>-113</v>
      </c>
      <c r="G113">
        <v>286</v>
      </c>
      <c r="H113">
        <f>(G113-(A113*'Atomic Particles'!C1))/'Atomic Particles'!C2+A113</f>
        <v>283.69841619794039</v>
      </c>
      <c r="J113">
        <f>(('Atomic Particles'!C1)*A113)+(('Atomic Particles'!C2)*Elements!F113)</f>
        <v>-0.15692375491612154</v>
      </c>
      <c r="K113" s="17">
        <f>(E113^(1/3))*Constants!B114</f>
        <v>0</v>
      </c>
      <c r="L113" s="15">
        <v>113</v>
      </c>
    </row>
    <row r="114" spans="1:23" x14ac:dyDescent="0.3">
      <c r="A114">
        <v>114</v>
      </c>
      <c r="B114" t="s">
        <v>222</v>
      </c>
      <c r="C114" t="s">
        <v>57</v>
      </c>
      <c r="D114" t="s">
        <v>241</v>
      </c>
      <c r="F114">
        <f t="shared" si="1"/>
        <v>-114</v>
      </c>
      <c r="G114">
        <v>289</v>
      </c>
      <c r="H114">
        <f>(G114-(A114*'Atomic Particles'!C1))/'Atomic Particles'!C2+A114</f>
        <v>286.67401857392167</v>
      </c>
      <c r="J114">
        <f>(('Atomic Particles'!C1)*A114)+(('Atomic Particles'!C2)*Elements!F114)</f>
        <v>-0.15831246071182647</v>
      </c>
      <c r="K114" s="17">
        <f>(E114^(1/3))*Constants!B115</f>
        <v>0</v>
      </c>
      <c r="L114" s="15">
        <v>114</v>
      </c>
    </row>
    <row r="115" spans="1:23" x14ac:dyDescent="0.3">
      <c r="A115">
        <v>115</v>
      </c>
      <c r="B115" t="s">
        <v>223</v>
      </c>
      <c r="C115" t="s">
        <v>68</v>
      </c>
      <c r="D115" t="s">
        <v>247</v>
      </c>
      <c r="F115">
        <f t="shared" si="1"/>
        <v>-115</v>
      </c>
      <c r="G115">
        <v>290</v>
      </c>
      <c r="H115">
        <f>(G115-(A115*'Atomic Particles'!C1))/'Atomic Particles'!C2+A115</f>
        <v>287.66680388243327</v>
      </c>
      <c r="J115">
        <f>(('Atomic Particles'!C1)*A115)+(('Atomic Particles'!C2)*Elements!F115)</f>
        <v>-0.15970116650755983</v>
      </c>
      <c r="K115" s="17">
        <f>(E115^(1/3))*Constants!B116</f>
        <v>0</v>
      </c>
      <c r="L115" s="15">
        <v>115</v>
      </c>
    </row>
    <row r="116" spans="1:23" x14ac:dyDescent="0.3">
      <c r="A116">
        <v>116</v>
      </c>
      <c r="B116" t="s">
        <v>224</v>
      </c>
      <c r="C116" t="s">
        <v>69</v>
      </c>
      <c r="D116" t="s">
        <v>247</v>
      </c>
      <c r="F116">
        <f t="shared" si="1"/>
        <v>-116</v>
      </c>
      <c r="G116">
        <v>293</v>
      </c>
      <c r="H116">
        <f>(G116-(A116*'Atomic Particles'!C1))/'Atomic Particles'!C2+A116</f>
        <v>290.64240625841455</v>
      </c>
      <c r="J116">
        <f>(('Atomic Particles'!C1)*A116)+(('Atomic Particles'!C2)*Elements!F116)</f>
        <v>-0.16108987230326477</v>
      </c>
      <c r="K116" s="17">
        <f>(E116^(1/3))*Constants!B117</f>
        <v>0</v>
      </c>
      <c r="L116" s="15">
        <v>116</v>
      </c>
    </row>
    <row r="117" spans="1:23" x14ac:dyDescent="0.3">
      <c r="A117">
        <v>117</v>
      </c>
      <c r="B117" t="s">
        <v>225</v>
      </c>
      <c r="C117" t="s">
        <v>75</v>
      </c>
      <c r="D117" t="s">
        <v>248</v>
      </c>
      <c r="F117">
        <f t="shared" si="1"/>
        <v>-117</v>
      </c>
      <c r="G117">
        <v>294</v>
      </c>
      <c r="H117">
        <f>(G117-(A117*'Atomic Particles'!C1))/'Atomic Particles'!C2+A117</f>
        <v>291.63519156692615</v>
      </c>
      <c r="J117">
        <f>(('Atomic Particles'!C1)*A117)+(('Atomic Particles'!C2)*Elements!F117)</f>
        <v>-0.16247857809898392</v>
      </c>
      <c r="K117" s="17">
        <f>(E117^(1/3))*Constants!B118</f>
        <v>0</v>
      </c>
      <c r="L117" s="15">
        <v>117</v>
      </c>
    </row>
    <row r="118" spans="1:23" x14ac:dyDescent="0.3">
      <c r="A118">
        <v>118</v>
      </c>
      <c r="B118" t="s">
        <v>226</v>
      </c>
      <c r="C118" t="s">
        <v>76</v>
      </c>
      <c r="D118" t="s">
        <v>249</v>
      </c>
      <c r="F118">
        <f t="shared" si="1"/>
        <v>-118</v>
      </c>
      <c r="G118">
        <v>294</v>
      </c>
      <c r="H118">
        <f>(G118-(A118*'Atomic Particles'!C1))/'Atomic Particles'!C2+A118</f>
        <v>291.63656834170285</v>
      </c>
      <c r="J118">
        <f>(('Atomic Particles'!C1)*A118)+(('Atomic Particles'!C2)*Elements!F118)</f>
        <v>-0.16386728389470306</v>
      </c>
      <c r="K118" s="17">
        <f>(E118^(1/3))*Constants!B119</f>
        <v>0</v>
      </c>
      <c r="L118" s="15">
        <v>118</v>
      </c>
    </row>
    <row r="120" spans="1:23" x14ac:dyDescent="0.3">
      <c r="A120" t="s">
        <v>256</v>
      </c>
      <c r="B120" t="s">
        <v>341</v>
      </c>
      <c r="C120" t="s">
        <v>342</v>
      </c>
      <c r="D120" t="s">
        <v>281</v>
      </c>
      <c r="E120" s="18" t="s">
        <v>255</v>
      </c>
      <c r="F120" t="s">
        <v>63</v>
      </c>
      <c r="G120" t="s">
        <v>399</v>
      </c>
      <c r="H120" t="s">
        <v>343</v>
      </c>
      <c r="J120" t="s">
        <v>474</v>
      </c>
      <c r="K120" t="s">
        <v>473</v>
      </c>
      <c r="L120" s="15" t="s">
        <v>475</v>
      </c>
      <c r="M120" s="19" t="s">
        <v>476</v>
      </c>
      <c r="N120" t="s">
        <v>477</v>
      </c>
      <c r="O120" t="s">
        <v>478</v>
      </c>
      <c r="P120" t="s">
        <v>479</v>
      </c>
      <c r="Q120" t="s">
        <v>480</v>
      </c>
      <c r="U120" t="s">
        <v>500</v>
      </c>
      <c r="V120" t="s">
        <v>464</v>
      </c>
      <c r="W120" t="s">
        <v>499</v>
      </c>
    </row>
    <row r="122" spans="1:23" x14ac:dyDescent="0.3">
      <c r="B122" t="s">
        <v>481</v>
      </c>
      <c r="D122" t="s">
        <v>491</v>
      </c>
    </row>
    <row r="123" spans="1:23" x14ac:dyDescent="0.3">
      <c r="B123" t="s">
        <v>482</v>
      </c>
      <c r="D123" t="s">
        <v>478</v>
      </c>
    </row>
    <row r="124" spans="1:23" x14ac:dyDescent="0.3">
      <c r="B124" t="s">
        <v>479</v>
      </c>
      <c r="D124" t="s">
        <v>480</v>
      </c>
    </row>
    <row r="125" spans="1:23" x14ac:dyDescent="0.3">
      <c r="B125" t="s">
        <v>483</v>
      </c>
      <c r="C125" t="s">
        <v>487</v>
      </c>
      <c r="D125" t="s">
        <v>492</v>
      </c>
    </row>
    <row r="126" spans="1:23" x14ac:dyDescent="0.3">
      <c r="B126" t="s">
        <v>484</v>
      </c>
      <c r="C126" t="s">
        <v>488</v>
      </c>
      <c r="D126" t="s">
        <v>493</v>
      </c>
    </row>
    <row r="127" spans="1:23" x14ac:dyDescent="0.3">
      <c r="B127" t="s">
        <v>485</v>
      </c>
      <c r="C127" t="s">
        <v>489</v>
      </c>
      <c r="D127" t="s">
        <v>494</v>
      </c>
    </row>
    <row r="128" spans="1:23" x14ac:dyDescent="0.3">
      <c r="B128" t="s">
        <v>486</v>
      </c>
      <c r="C128" t="s">
        <v>490</v>
      </c>
    </row>
    <row r="129" spans="3:3" x14ac:dyDescent="0.3">
      <c r="C129" t="s">
        <v>495</v>
      </c>
    </row>
    <row r="130" spans="3:3" x14ac:dyDescent="0.3">
      <c r="C130" t="s">
        <v>496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91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  <x14:dataValidation type="decimal" allowBlank="1" showInputMessage="1" showErrorMessage="1" xr:uid="{E9C3EDA8-7A24-0C4F-BE11-874E9B7AAB65}">
          <x14:formula1>
            <xm:f>PVNRT!T1</xm:f>
          </x14:formula1>
          <x14:formula2>
            <xm:f>PVNRT!T10000</xm:f>
          </x14:formula2>
          <xm:sqref>T1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BBB3-1D81-6B42-A884-AB3F504494BC}">
  <dimension ref="A1"/>
  <sheetViews>
    <sheetView workbookViewId="0"/>
  </sheetViews>
  <sheetFormatPr defaultColWidth="11.5546875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345</v>
      </c>
    </row>
    <row r="2" spans="1:2" x14ac:dyDescent="0.3">
      <c r="A2">
        <v>2</v>
      </c>
      <c r="B2" t="s">
        <v>346</v>
      </c>
    </row>
    <row r="3" spans="1:2" x14ac:dyDescent="0.3">
      <c r="A3">
        <v>3</v>
      </c>
      <c r="B3" t="s">
        <v>347</v>
      </c>
    </row>
    <row r="4" spans="1:2" x14ac:dyDescent="0.3">
      <c r="A4">
        <v>4</v>
      </c>
      <c r="B4" t="s">
        <v>348</v>
      </c>
    </row>
    <row r="5" spans="1:2" x14ac:dyDescent="0.3">
      <c r="A5">
        <v>5</v>
      </c>
    </row>
    <row r="6" spans="1:2" x14ac:dyDescent="0.3">
      <c r="A6">
        <v>6</v>
      </c>
      <c r="B6" t="s">
        <v>349</v>
      </c>
    </row>
    <row r="7" spans="1:2" x14ac:dyDescent="0.3">
      <c r="A7">
        <v>7</v>
      </c>
      <c r="B7" t="s">
        <v>350</v>
      </c>
    </row>
    <row r="8" spans="1:2" x14ac:dyDescent="0.3">
      <c r="A8">
        <v>8</v>
      </c>
    </row>
    <row r="9" spans="1:2" x14ac:dyDescent="0.3">
      <c r="A9">
        <v>9</v>
      </c>
      <c r="B9" t="s">
        <v>351</v>
      </c>
    </row>
    <row r="10" spans="1:2" x14ac:dyDescent="0.3">
      <c r="A10">
        <v>10</v>
      </c>
      <c r="B10" t="s">
        <v>352</v>
      </c>
    </row>
    <row r="11" spans="1:2" x14ac:dyDescent="0.3">
      <c r="A11">
        <v>11</v>
      </c>
      <c r="B11" t="s">
        <v>353</v>
      </c>
    </row>
    <row r="12" spans="1:2" x14ac:dyDescent="0.3">
      <c r="A12">
        <v>12</v>
      </c>
      <c r="B12" t="s">
        <v>354</v>
      </c>
    </row>
    <row r="13" spans="1:2" x14ac:dyDescent="0.3">
      <c r="A13">
        <v>13</v>
      </c>
      <c r="B13" t="s">
        <v>355</v>
      </c>
    </row>
    <row r="14" spans="1:2" x14ac:dyDescent="0.3">
      <c r="A14">
        <v>14</v>
      </c>
      <c r="B14" t="s">
        <v>356</v>
      </c>
    </row>
    <row r="15" spans="1:2" x14ac:dyDescent="0.3">
      <c r="A15">
        <v>15</v>
      </c>
      <c r="B15" t="s">
        <v>357</v>
      </c>
    </row>
    <row r="16" spans="1:2" x14ac:dyDescent="0.3">
      <c r="A16">
        <v>16</v>
      </c>
      <c r="B16" t="s">
        <v>358</v>
      </c>
    </row>
    <row r="17" spans="1:2" x14ac:dyDescent="0.3">
      <c r="A17">
        <v>17</v>
      </c>
      <c r="B17" t="s">
        <v>359</v>
      </c>
    </row>
    <row r="18" spans="1:2" x14ac:dyDescent="0.3">
      <c r="A18">
        <v>18</v>
      </c>
      <c r="B18" t="s">
        <v>360</v>
      </c>
    </row>
    <row r="19" spans="1:2" x14ac:dyDescent="0.3">
      <c r="A19">
        <v>19</v>
      </c>
      <c r="B19" t="s">
        <v>361</v>
      </c>
    </row>
    <row r="20" spans="1:2" x14ac:dyDescent="0.3">
      <c r="A20">
        <v>20</v>
      </c>
      <c r="B20" t="s">
        <v>362</v>
      </c>
    </row>
    <row r="21" spans="1:2" x14ac:dyDescent="0.3">
      <c r="A21">
        <v>21</v>
      </c>
      <c r="B21" t="s">
        <v>363</v>
      </c>
    </row>
    <row r="22" spans="1:2" x14ac:dyDescent="0.3">
      <c r="A22">
        <v>22</v>
      </c>
      <c r="B22" t="s">
        <v>364</v>
      </c>
    </row>
    <row r="23" spans="1:2" x14ac:dyDescent="0.3">
      <c r="A23">
        <v>23</v>
      </c>
      <c r="B23" t="s">
        <v>365</v>
      </c>
    </row>
    <row r="24" spans="1:2" x14ac:dyDescent="0.3">
      <c r="A24">
        <v>24</v>
      </c>
      <c r="B24" t="s">
        <v>366</v>
      </c>
    </row>
    <row r="25" spans="1:2" x14ac:dyDescent="0.3">
      <c r="A25">
        <v>25</v>
      </c>
      <c r="B25" t="s">
        <v>367</v>
      </c>
    </row>
    <row r="26" spans="1:2" x14ac:dyDescent="0.3">
      <c r="A26">
        <v>26</v>
      </c>
      <c r="B26" t="s">
        <v>368</v>
      </c>
    </row>
    <row r="27" spans="1:2" x14ac:dyDescent="0.3">
      <c r="A27">
        <v>27</v>
      </c>
      <c r="B27" t="s">
        <v>369</v>
      </c>
    </row>
    <row r="28" spans="1:2" x14ac:dyDescent="0.3">
      <c r="A28">
        <v>28</v>
      </c>
      <c r="B28" t="s">
        <v>370</v>
      </c>
    </row>
    <row r="29" spans="1:2" x14ac:dyDescent="0.3">
      <c r="A29">
        <v>29</v>
      </c>
      <c r="B29" t="s">
        <v>371</v>
      </c>
    </row>
    <row r="30" spans="1:2" x14ac:dyDescent="0.3">
      <c r="A30">
        <v>30</v>
      </c>
      <c r="B30" t="s">
        <v>372</v>
      </c>
    </row>
    <row r="31" spans="1:2" x14ac:dyDescent="0.3">
      <c r="A31">
        <v>31</v>
      </c>
      <c r="B31" t="s">
        <v>373</v>
      </c>
    </row>
    <row r="32" spans="1:2" x14ac:dyDescent="0.3">
      <c r="A32">
        <v>32</v>
      </c>
      <c r="B32" t="s">
        <v>374</v>
      </c>
    </row>
    <row r="33" spans="1:3" x14ac:dyDescent="0.3">
      <c r="A33">
        <v>33</v>
      </c>
      <c r="B33" t="s">
        <v>375</v>
      </c>
    </row>
    <row r="34" spans="1:3" x14ac:dyDescent="0.3">
      <c r="A34">
        <v>34</v>
      </c>
      <c r="B34" t="s">
        <v>376</v>
      </c>
    </row>
    <row r="35" spans="1:3" x14ac:dyDescent="0.3">
      <c r="A35">
        <v>35</v>
      </c>
      <c r="B35" t="s">
        <v>377</v>
      </c>
    </row>
    <row r="36" spans="1:3" x14ac:dyDescent="0.3">
      <c r="A36">
        <v>36</v>
      </c>
      <c r="B36" t="s">
        <v>378</v>
      </c>
      <c r="C36" t="s">
        <v>379</v>
      </c>
    </row>
    <row r="37" spans="1:3" x14ac:dyDescent="0.3">
      <c r="A37">
        <v>37</v>
      </c>
      <c r="B37" t="s">
        <v>380</v>
      </c>
    </row>
    <row r="38" spans="1:3" x14ac:dyDescent="0.3">
      <c r="A38">
        <v>38</v>
      </c>
      <c r="B38" t="s">
        <v>381</v>
      </c>
    </row>
    <row r="39" spans="1:3" x14ac:dyDescent="0.3">
      <c r="A39">
        <v>39</v>
      </c>
      <c r="B39" t="s">
        <v>382</v>
      </c>
    </row>
    <row r="40" spans="1:3" x14ac:dyDescent="0.3">
      <c r="A40">
        <v>40</v>
      </c>
      <c r="B40" t="s">
        <v>383</v>
      </c>
      <c r="C40" t="s">
        <v>344</v>
      </c>
    </row>
    <row r="41" spans="1:3" x14ac:dyDescent="0.3">
      <c r="A41">
        <v>41</v>
      </c>
      <c r="B41" t="s">
        <v>384</v>
      </c>
    </row>
    <row r="42" spans="1:3" x14ac:dyDescent="0.3">
      <c r="A42">
        <v>42</v>
      </c>
      <c r="B42" t="s">
        <v>385</v>
      </c>
    </row>
    <row r="43" spans="1:3" x14ac:dyDescent="0.3">
      <c r="A43">
        <v>43</v>
      </c>
      <c r="B43" t="s">
        <v>386</v>
      </c>
    </row>
    <row r="44" spans="1:3" x14ac:dyDescent="0.3">
      <c r="A44">
        <v>44</v>
      </c>
      <c r="B44" t="s">
        <v>387</v>
      </c>
    </row>
    <row r="45" spans="1:3" x14ac:dyDescent="0.3">
      <c r="A45">
        <v>45</v>
      </c>
      <c r="B45" t="s">
        <v>388</v>
      </c>
    </row>
    <row r="46" spans="1:3" x14ac:dyDescent="0.3">
      <c r="A46">
        <v>46</v>
      </c>
      <c r="B46" t="s">
        <v>389</v>
      </c>
      <c r="C46" t="s">
        <v>391</v>
      </c>
    </row>
    <row r="47" spans="1:3" x14ac:dyDescent="0.3">
      <c r="A47">
        <v>47</v>
      </c>
      <c r="B47" t="s">
        <v>390</v>
      </c>
      <c r="C47" t="s">
        <v>392</v>
      </c>
    </row>
    <row r="48" spans="1:3" x14ac:dyDescent="0.3">
      <c r="A48">
        <v>48</v>
      </c>
      <c r="B48" t="s">
        <v>394</v>
      </c>
      <c r="C48" t="s">
        <v>393</v>
      </c>
    </row>
    <row r="49" spans="1:3" x14ac:dyDescent="0.3">
      <c r="A49">
        <v>49</v>
      </c>
      <c r="B49" t="s">
        <v>395</v>
      </c>
    </row>
    <row r="50" spans="1:3" x14ac:dyDescent="0.3">
      <c r="A50">
        <v>50</v>
      </c>
      <c r="B50" t="s">
        <v>396</v>
      </c>
      <c r="C50" t="s">
        <v>398</v>
      </c>
    </row>
    <row r="51" spans="1:3" x14ac:dyDescent="0.3">
      <c r="A51">
        <v>51</v>
      </c>
      <c r="B51" t="s">
        <v>397</v>
      </c>
    </row>
    <row r="52" spans="1:3" x14ac:dyDescent="0.3">
      <c r="A52">
        <v>52</v>
      </c>
      <c r="B52" t="s">
        <v>400</v>
      </c>
    </row>
    <row r="53" spans="1:3" x14ac:dyDescent="0.3">
      <c r="A53">
        <v>53</v>
      </c>
      <c r="B53" t="s">
        <v>400</v>
      </c>
    </row>
    <row r="54" spans="1:3" x14ac:dyDescent="0.3">
      <c r="A54">
        <v>54</v>
      </c>
      <c r="B54" t="s">
        <v>400</v>
      </c>
      <c r="C54" t="s">
        <v>402</v>
      </c>
    </row>
    <row r="55" spans="1:3" x14ac:dyDescent="0.3">
      <c r="A55">
        <v>55</v>
      </c>
      <c r="B55" t="s">
        <v>401</v>
      </c>
    </row>
    <row r="56" spans="1:3" x14ac:dyDescent="0.3">
      <c r="A56">
        <v>56</v>
      </c>
      <c r="B56" t="s">
        <v>402</v>
      </c>
    </row>
    <row r="57" spans="1:3" x14ac:dyDescent="0.3">
      <c r="A57">
        <v>57</v>
      </c>
      <c r="B57" t="s">
        <v>402</v>
      </c>
    </row>
    <row r="58" spans="1:3" x14ac:dyDescent="0.3">
      <c r="A58">
        <v>58</v>
      </c>
      <c r="B58" t="s">
        <v>402</v>
      </c>
      <c r="C58" t="s">
        <v>404</v>
      </c>
    </row>
    <row r="59" spans="1:3" x14ac:dyDescent="0.3">
      <c r="A59">
        <v>59</v>
      </c>
      <c r="B59" t="s">
        <v>403</v>
      </c>
    </row>
    <row r="60" spans="1:3" x14ac:dyDescent="0.3">
      <c r="A60">
        <v>60</v>
      </c>
      <c r="B60" t="s">
        <v>404</v>
      </c>
    </row>
    <row r="61" spans="1:3" x14ac:dyDescent="0.3">
      <c r="A61">
        <v>61</v>
      </c>
      <c r="B61" t="s">
        <v>404</v>
      </c>
    </row>
    <row r="62" spans="1:3" x14ac:dyDescent="0.3">
      <c r="A62">
        <v>62</v>
      </c>
      <c r="B62" t="s">
        <v>404</v>
      </c>
    </row>
    <row r="63" spans="1:3" x14ac:dyDescent="0.3">
      <c r="A63">
        <v>63</v>
      </c>
      <c r="B63" t="s">
        <v>405</v>
      </c>
    </row>
    <row r="64" spans="1:3" x14ac:dyDescent="0.3">
      <c r="A64">
        <v>64</v>
      </c>
      <c r="B64" t="s">
        <v>404</v>
      </c>
      <c r="C64" t="s">
        <v>406</v>
      </c>
    </row>
    <row r="65" spans="1:3" x14ac:dyDescent="0.3">
      <c r="A65">
        <v>65</v>
      </c>
      <c r="B65" t="s">
        <v>405</v>
      </c>
    </row>
    <row r="66" spans="1:3" x14ac:dyDescent="0.3">
      <c r="A66">
        <v>66</v>
      </c>
      <c r="B66" t="s">
        <v>406</v>
      </c>
    </row>
    <row r="67" spans="1:3" x14ac:dyDescent="0.3">
      <c r="A67">
        <v>67</v>
      </c>
      <c r="B67" t="s">
        <v>406</v>
      </c>
    </row>
    <row r="68" spans="1:3" x14ac:dyDescent="0.3">
      <c r="A68">
        <v>68</v>
      </c>
      <c r="B68" t="s">
        <v>406</v>
      </c>
    </row>
    <row r="69" spans="1:3" x14ac:dyDescent="0.3">
      <c r="A69">
        <v>69</v>
      </c>
      <c r="B69" t="s">
        <v>407</v>
      </c>
    </row>
    <row r="70" spans="1:3" x14ac:dyDescent="0.3">
      <c r="A70">
        <v>70</v>
      </c>
      <c r="B70" t="s">
        <v>406</v>
      </c>
      <c r="C70" t="s">
        <v>408</v>
      </c>
    </row>
    <row r="71" spans="1:3" x14ac:dyDescent="0.3">
      <c r="A71">
        <v>71</v>
      </c>
      <c r="B71" t="s">
        <v>407</v>
      </c>
    </row>
    <row r="72" spans="1:3" x14ac:dyDescent="0.3">
      <c r="A72">
        <v>72</v>
      </c>
      <c r="B72" t="s">
        <v>408</v>
      </c>
    </row>
    <row r="73" spans="1:3" x14ac:dyDescent="0.3">
      <c r="A73">
        <v>73</v>
      </c>
      <c r="B73" t="s">
        <v>408</v>
      </c>
    </row>
    <row r="74" spans="1:3" x14ac:dyDescent="0.3">
      <c r="A74">
        <v>74</v>
      </c>
      <c r="B74" t="s">
        <v>408</v>
      </c>
      <c r="C74" t="s">
        <v>410</v>
      </c>
    </row>
    <row r="75" spans="1:3" x14ac:dyDescent="0.3">
      <c r="A75">
        <v>75</v>
      </c>
      <c r="B75" t="s">
        <v>409</v>
      </c>
    </row>
    <row r="76" spans="1:3" x14ac:dyDescent="0.3">
      <c r="A76">
        <v>76</v>
      </c>
      <c r="B76" t="s">
        <v>408</v>
      </c>
      <c r="C76" t="s">
        <v>410</v>
      </c>
    </row>
    <row r="77" spans="1:3" x14ac:dyDescent="0.3">
      <c r="A77">
        <v>77</v>
      </c>
      <c r="B77" t="s">
        <v>410</v>
      </c>
    </row>
    <row r="78" spans="1:3" x14ac:dyDescent="0.3">
      <c r="A78">
        <v>78</v>
      </c>
      <c r="B78" t="s">
        <v>410</v>
      </c>
      <c r="C78" t="s">
        <v>412</v>
      </c>
    </row>
    <row r="79" spans="1:3" x14ac:dyDescent="0.3">
      <c r="A79">
        <v>79</v>
      </c>
      <c r="B79" t="s">
        <v>411</v>
      </c>
    </row>
    <row r="80" spans="1:3" x14ac:dyDescent="0.3">
      <c r="A80">
        <v>80</v>
      </c>
      <c r="B80" t="s">
        <v>410</v>
      </c>
      <c r="C80" t="s">
        <v>412</v>
      </c>
    </row>
    <row r="81" spans="1:4" x14ac:dyDescent="0.3">
      <c r="A81">
        <v>81</v>
      </c>
      <c r="B81" t="s">
        <v>411</v>
      </c>
    </row>
    <row r="82" spans="1:4" x14ac:dyDescent="0.3">
      <c r="A82">
        <v>82</v>
      </c>
      <c r="B82" t="s">
        <v>410</v>
      </c>
      <c r="C82" t="s">
        <v>412</v>
      </c>
    </row>
    <row r="83" spans="1:4" x14ac:dyDescent="0.3">
      <c r="A83">
        <v>83</v>
      </c>
      <c r="B83" t="s">
        <v>412</v>
      </c>
    </row>
    <row r="84" spans="1:4" x14ac:dyDescent="0.3">
      <c r="A84">
        <v>84</v>
      </c>
      <c r="B84" t="s">
        <v>412</v>
      </c>
      <c r="C84" t="s">
        <v>414</v>
      </c>
    </row>
    <row r="85" spans="1:4" x14ac:dyDescent="0.3">
      <c r="A85">
        <v>85</v>
      </c>
      <c r="B85" t="s">
        <v>413</v>
      </c>
    </row>
    <row r="86" spans="1:4" x14ac:dyDescent="0.3">
      <c r="A86">
        <v>86</v>
      </c>
      <c r="B86" t="s">
        <v>412</v>
      </c>
      <c r="C86" t="s">
        <v>414</v>
      </c>
    </row>
    <row r="87" spans="1:4" x14ac:dyDescent="0.3">
      <c r="A87">
        <v>87</v>
      </c>
      <c r="B87" t="s">
        <v>413</v>
      </c>
      <c r="C87" t="s">
        <v>414</v>
      </c>
    </row>
    <row r="88" spans="1:4" x14ac:dyDescent="0.3">
      <c r="A88">
        <v>88</v>
      </c>
      <c r="B88" t="s">
        <v>414</v>
      </c>
    </row>
    <row r="89" spans="1:4" x14ac:dyDescent="0.3">
      <c r="A89">
        <v>89</v>
      </c>
      <c r="B89" t="s">
        <v>415</v>
      </c>
    </row>
    <row r="90" spans="1:4" x14ac:dyDescent="0.3">
      <c r="A90">
        <v>90</v>
      </c>
      <c r="B90" t="s">
        <v>416</v>
      </c>
    </row>
    <row r="91" spans="1:4" x14ac:dyDescent="0.3">
      <c r="A91">
        <v>91</v>
      </c>
      <c r="B91" t="s">
        <v>416</v>
      </c>
    </row>
    <row r="92" spans="1:4" x14ac:dyDescent="0.3">
      <c r="A92">
        <v>92</v>
      </c>
      <c r="B92" t="s">
        <v>416</v>
      </c>
      <c r="C92" t="s">
        <v>417</v>
      </c>
    </row>
    <row r="93" spans="1:4" x14ac:dyDescent="0.3">
      <c r="A93">
        <v>93</v>
      </c>
      <c r="B93" t="s">
        <v>420</v>
      </c>
    </row>
    <row r="94" spans="1:4" x14ac:dyDescent="0.3">
      <c r="A94">
        <v>94</v>
      </c>
      <c r="B94" t="s">
        <v>416</v>
      </c>
      <c r="C94" t="s">
        <v>417</v>
      </c>
    </row>
    <row r="95" spans="1:4" x14ac:dyDescent="0.3">
      <c r="A95">
        <v>95</v>
      </c>
      <c r="B95" t="s">
        <v>417</v>
      </c>
    </row>
    <row r="96" spans="1:4" x14ac:dyDescent="0.3">
      <c r="A96">
        <v>96</v>
      </c>
      <c r="B96" t="s">
        <v>416</v>
      </c>
      <c r="C96" t="s">
        <v>417</v>
      </c>
      <c r="D96" t="s">
        <v>419</v>
      </c>
    </row>
    <row r="97" spans="1:4" x14ac:dyDescent="0.3">
      <c r="A97">
        <v>97</v>
      </c>
      <c r="B97" t="s">
        <v>417</v>
      </c>
      <c r="C97" t="s">
        <v>418</v>
      </c>
    </row>
    <row r="98" spans="1:4" x14ac:dyDescent="0.3">
      <c r="A98">
        <v>98</v>
      </c>
      <c r="B98" t="s">
        <v>417</v>
      </c>
      <c r="D98" t="s">
        <v>419</v>
      </c>
    </row>
    <row r="99" spans="1:4" x14ac:dyDescent="0.3">
      <c r="A99">
        <v>99</v>
      </c>
      <c r="B99" t="s">
        <v>419</v>
      </c>
    </row>
    <row r="100" spans="1:4" x14ac:dyDescent="0.3">
      <c r="A100">
        <v>100</v>
      </c>
      <c r="B100" t="s">
        <v>417</v>
      </c>
      <c r="C100" t="s">
        <v>419</v>
      </c>
    </row>
    <row r="101" spans="1:4" x14ac:dyDescent="0.3">
      <c r="A101">
        <v>101</v>
      </c>
      <c r="B101" t="s">
        <v>419</v>
      </c>
    </row>
    <row r="102" spans="1:4" x14ac:dyDescent="0.3">
      <c r="A102">
        <v>102</v>
      </c>
      <c r="B102" t="s">
        <v>419</v>
      </c>
      <c r="C102" t="s">
        <v>422</v>
      </c>
    </row>
    <row r="103" spans="1:4" x14ac:dyDescent="0.3">
      <c r="A103">
        <v>103</v>
      </c>
      <c r="B103" t="s">
        <v>421</v>
      </c>
    </row>
    <row r="104" spans="1:4" x14ac:dyDescent="0.3">
      <c r="A104">
        <v>104</v>
      </c>
      <c r="B104" t="s">
        <v>419</v>
      </c>
      <c r="C104" t="s">
        <v>422</v>
      </c>
    </row>
    <row r="105" spans="1:4" x14ac:dyDescent="0.3">
      <c r="A105">
        <v>105</v>
      </c>
      <c r="B105" t="s">
        <v>422</v>
      </c>
    </row>
    <row r="106" spans="1:4" x14ac:dyDescent="0.3">
      <c r="A106">
        <v>106</v>
      </c>
      <c r="B106" t="s">
        <v>422</v>
      </c>
      <c r="C106" t="s">
        <v>424</v>
      </c>
    </row>
    <row r="107" spans="1:4" x14ac:dyDescent="0.3">
      <c r="A107">
        <v>107</v>
      </c>
      <c r="B107" t="s">
        <v>423</v>
      </c>
    </row>
    <row r="108" spans="1:4" x14ac:dyDescent="0.3">
      <c r="A108">
        <v>108</v>
      </c>
      <c r="B108" t="s">
        <v>422</v>
      </c>
      <c r="C108" t="s">
        <v>424</v>
      </c>
    </row>
    <row r="109" spans="1:4" x14ac:dyDescent="0.3">
      <c r="A109">
        <v>109</v>
      </c>
      <c r="B109" t="s">
        <v>423</v>
      </c>
    </row>
    <row r="110" spans="1:4" x14ac:dyDescent="0.3">
      <c r="A110">
        <v>110</v>
      </c>
      <c r="B110" t="s">
        <v>422</v>
      </c>
      <c r="C110" t="s">
        <v>424</v>
      </c>
    </row>
    <row r="111" spans="1:4" x14ac:dyDescent="0.3">
      <c r="A111">
        <v>111</v>
      </c>
      <c r="B111" t="s">
        <v>424</v>
      </c>
    </row>
    <row r="112" spans="1:4" x14ac:dyDescent="0.3">
      <c r="A112">
        <v>112</v>
      </c>
      <c r="B112" t="s">
        <v>424</v>
      </c>
      <c r="C112" t="s">
        <v>426</v>
      </c>
    </row>
    <row r="113" spans="1:4" x14ac:dyDescent="0.3">
      <c r="A113">
        <v>113</v>
      </c>
      <c r="B113" t="s">
        <v>424</v>
      </c>
      <c r="C113" t="s">
        <v>425</v>
      </c>
    </row>
    <row r="114" spans="1:4" x14ac:dyDescent="0.3">
      <c r="A114">
        <v>114</v>
      </c>
      <c r="B114" t="s">
        <v>424</v>
      </c>
      <c r="C114" t="s">
        <v>426</v>
      </c>
    </row>
    <row r="115" spans="1:4" x14ac:dyDescent="0.3">
      <c r="A115">
        <v>115</v>
      </c>
      <c r="B115" t="s">
        <v>425</v>
      </c>
      <c r="C115" t="s">
        <v>426</v>
      </c>
    </row>
    <row r="116" spans="1:4" x14ac:dyDescent="0.3">
      <c r="A116">
        <v>116</v>
      </c>
      <c r="B116" t="s">
        <v>424</v>
      </c>
      <c r="C116" t="s">
        <v>426</v>
      </c>
    </row>
    <row r="117" spans="1:4" x14ac:dyDescent="0.3">
      <c r="A117">
        <v>117</v>
      </c>
      <c r="B117" t="s">
        <v>426</v>
      </c>
    </row>
    <row r="118" spans="1:4" x14ac:dyDescent="0.3">
      <c r="A118">
        <v>118</v>
      </c>
      <c r="B118" t="s">
        <v>426</v>
      </c>
    </row>
    <row r="119" spans="1:4" x14ac:dyDescent="0.3">
      <c r="A119">
        <v>119</v>
      </c>
      <c r="B119" t="s">
        <v>426</v>
      </c>
    </row>
    <row r="120" spans="1:4" x14ac:dyDescent="0.3">
      <c r="A120">
        <v>120</v>
      </c>
      <c r="B120" t="s">
        <v>426</v>
      </c>
      <c r="C120" t="s">
        <v>428</v>
      </c>
    </row>
    <row r="121" spans="1:4" x14ac:dyDescent="0.3">
      <c r="A121">
        <v>121</v>
      </c>
      <c r="B121" t="s">
        <v>426</v>
      </c>
    </row>
    <row r="122" spans="1:4" x14ac:dyDescent="0.3">
      <c r="A122">
        <v>122</v>
      </c>
      <c r="B122" t="s">
        <v>426</v>
      </c>
      <c r="C122" t="s">
        <v>428</v>
      </c>
    </row>
    <row r="123" spans="1:4" x14ac:dyDescent="0.3">
      <c r="A123">
        <v>123</v>
      </c>
      <c r="C123" t="s">
        <v>428</v>
      </c>
    </row>
    <row r="124" spans="1:4" x14ac:dyDescent="0.3">
      <c r="A124">
        <v>124</v>
      </c>
      <c r="B124" t="s">
        <v>426</v>
      </c>
      <c r="C124" t="s">
        <v>428</v>
      </c>
      <c r="D124" t="s">
        <v>430</v>
      </c>
    </row>
    <row r="125" spans="1:4" x14ac:dyDescent="0.3">
      <c r="A125">
        <v>125</v>
      </c>
      <c r="B125" t="s">
        <v>427</v>
      </c>
      <c r="C125" t="s">
        <v>428</v>
      </c>
    </row>
    <row r="126" spans="1:4" x14ac:dyDescent="0.3">
      <c r="A126">
        <v>126</v>
      </c>
      <c r="B126" t="s">
        <v>426</v>
      </c>
      <c r="C126" t="s">
        <v>428</v>
      </c>
      <c r="D126" t="s">
        <v>430</v>
      </c>
    </row>
    <row r="127" spans="1:4" x14ac:dyDescent="0.3">
      <c r="A127">
        <v>127</v>
      </c>
      <c r="B127" t="s">
        <v>427</v>
      </c>
      <c r="C127" t="s">
        <v>429</v>
      </c>
    </row>
    <row r="128" spans="1:4" x14ac:dyDescent="0.3">
      <c r="A128">
        <v>128</v>
      </c>
      <c r="B128" t="s">
        <v>428</v>
      </c>
      <c r="D128" t="s">
        <v>430</v>
      </c>
    </row>
    <row r="129" spans="1:4" x14ac:dyDescent="0.3">
      <c r="A129">
        <v>129</v>
      </c>
      <c r="B129" t="s">
        <v>430</v>
      </c>
    </row>
    <row r="130" spans="1:4" x14ac:dyDescent="0.3">
      <c r="A130">
        <v>130</v>
      </c>
      <c r="B130" t="s">
        <v>428</v>
      </c>
      <c r="C130" t="s">
        <v>430</v>
      </c>
      <c r="D130" t="s">
        <v>432</v>
      </c>
    </row>
    <row r="131" spans="1:4" x14ac:dyDescent="0.3">
      <c r="A131">
        <v>131</v>
      </c>
      <c r="B131" t="s">
        <v>430</v>
      </c>
    </row>
    <row r="132" spans="1:4" x14ac:dyDescent="0.3">
      <c r="A132">
        <v>132</v>
      </c>
      <c r="B132" t="s">
        <v>430</v>
      </c>
      <c r="C132" t="s">
        <v>432</v>
      </c>
    </row>
    <row r="133" spans="1:4" x14ac:dyDescent="0.3">
      <c r="A133">
        <v>133</v>
      </c>
      <c r="B133" t="s">
        <v>431</v>
      </c>
    </row>
    <row r="134" spans="1:4" x14ac:dyDescent="0.3">
      <c r="A134">
        <v>134</v>
      </c>
      <c r="B134" t="s">
        <v>430</v>
      </c>
      <c r="C134" t="s">
        <v>432</v>
      </c>
    </row>
    <row r="135" spans="1:4" x14ac:dyDescent="0.3">
      <c r="A135">
        <v>135</v>
      </c>
      <c r="B135" t="s">
        <v>432</v>
      </c>
    </row>
    <row r="136" spans="1:4" x14ac:dyDescent="0.3">
      <c r="A136">
        <v>136</v>
      </c>
      <c r="B136" t="s">
        <v>430</v>
      </c>
      <c r="C136" t="s">
        <v>432</v>
      </c>
      <c r="D136" t="s">
        <v>433</v>
      </c>
    </row>
    <row r="137" spans="1:4" x14ac:dyDescent="0.3">
      <c r="A137">
        <v>137</v>
      </c>
      <c r="B137" t="s">
        <v>432</v>
      </c>
    </row>
    <row r="138" spans="1:4" x14ac:dyDescent="0.3">
      <c r="A138">
        <v>138</v>
      </c>
      <c r="B138" t="s">
        <v>432</v>
      </c>
      <c r="C138" t="s">
        <v>433</v>
      </c>
      <c r="D138" t="s">
        <v>466</v>
      </c>
    </row>
    <row r="139" spans="1:4" x14ac:dyDescent="0.3">
      <c r="A139">
        <v>139</v>
      </c>
      <c r="B139" t="s">
        <v>466</v>
      </c>
    </row>
    <row r="140" spans="1:4" x14ac:dyDescent="0.3">
      <c r="A140">
        <v>140</v>
      </c>
      <c r="B140" t="s">
        <v>433</v>
      </c>
    </row>
    <row r="141" spans="1:4" x14ac:dyDescent="0.3">
      <c r="A141">
        <v>141</v>
      </c>
      <c r="B141" t="s">
        <v>434</v>
      </c>
    </row>
    <row r="142" spans="1:4" x14ac:dyDescent="0.3">
      <c r="A142">
        <v>142</v>
      </c>
      <c r="B142" t="s">
        <v>433</v>
      </c>
      <c r="C142" t="s">
        <v>435</v>
      </c>
    </row>
    <row r="143" spans="1:4" x14ac:dyDescent="0.3">
      <c r="A143">
        <v>143</v>
      </c>
      <c r="B143" t="s">
        <v>435</v>
      </c>
    </row>
    <row r="144" spans="1:4" x14ac:dyDescent="0.3">
      <c r="A144">
        <v>144</v>
      </c>
      <c r="B144" t="s">
        <v>435</v>
      </c>
      <c r="C144" t="s">
        <v>468</v>
      </c>
    </row>
    <row r="145" spans="1:3" x14ac:dyDescent="0.3">
      <c r="A145">
        <v>145</v>
      </c>
      <c r="B145" t="s">
        <v>435</v>
      </c>
      <c r="C145" t="s">
        <v>467</v>
      </c>
    </row>
    <row r="146" spans="1:3" x14ac:dyDescent="0.3">
      <c r="A146">
        <v>146</v>
      </c>
      <c r="B146" t="s">
        <v>435</v>
      </c>
    </row>
    <row r="147" spans="1:3" x14ac:dyDescent="0.3">
      <c r="A147">
        <v>147</v>
      </c>
      <c r="B147" t="s">
        <v>468</v>
      </c>
    </row>
    <row r="148" spans="1:3" x14ac:dyDescent="0.3">
      <c r="A148">
        <v>148</v>
      </c>
      <c r="B148" t="s">
        <v>435</v>
      </c>
      <c r="C148" t="s">
        <v>468</v>
      </c>
    </row>
    <row r="149" spans="1:3" x14ac:dyDescent="0.3">
      <c r="A149">
        <v>149</v>
      </c>
      <c r="B149" t="s">
        <v>468</v>
      </c>
    </row>
    <row r="150" spans="1:3" x14ac:dyDescent="0.3">
      <c r="A150">
        <v>150</v>
      </c>
      <c r="B150" t="s">
        <v>468</v>
      </c>
      <c r="C150" t="s">
        <v>435</v>
      </c>
    </row>
    <row r="151" spans="1:3" x14ac:dyDescent="0.3">
      <c r="A151">
        <v>151</v>
      </c>
      <c r="B151" t="s">
        <v>436</v>
      </c>
    </row>
    <row r="152" spans="1:3" x14ac:dyDescent="0.3">
      <c r="A152">
        <v>152</v>
      </c>
      <c r="B152" t="s">
        <v>468</v>
      </c>
      <c r="C152" t="s">
        <v>437</v>
      </c>
    </row>
    <row r="153" spans="1:3" x14ac:dyDescent="0.3">
      <c r="A153">
        <v>153</v>
      </c>
      <c r="B153" t="s">
        <v>436</v>
      </c>
    </row>
    <row r="154" spans="1:3" x14ac:dyDescent="0.3">
      <c r="A154">
        <v>154</v>
      </c>
      <c r="B154" t="s">
        <v>468</v>
      </c>
      <c r="C154" t="s">
        <v>437</v>
      </c>
    </row>
    <row r="155" spans="1:3" x14ac:dyDescent="0.3">
      <c r="A155">
        <v>155</v>
      </c>
      <c r="B155" t="s">
        <v>437</v>
      </c>
    </row>
    <row r="156" spans="1:3" x14ac:dyDescent="0.3">
      <c r="A156">
        <v>156</v>
      </c>
      <c r="B156" t="s">
        <v>437</v>
      </c>
      <c r="C156" t="s">
        <v>439</v>
      </c>
    </row>
    <row r="157" spans="1:3" x14ac:dyDescent="0.3">
      <c r="A157">
        <v>157</v>
      </c>
      <c r="B157" t="s">
        <v>437</v>
      </c>
    </row>
    <row r="158" spans="1:3" x14ac:dyDescent="0.3">
      <c r="A158">
        <v>158</v>
      </c>
      <c r="B158" t="s">
        <v>437</v>
      </c>
      <c r="C158" t="s">
        <v>439</v>
      </c>
    </row>
    <row r="159" spans="1:3" x14ac:dyDescent="0.3">
      <c r="A159">
        <v>159</v>
      </c>
      <c r="B159" t="s">
        <v>438</v>
      </c>
    </row>
    <row r="160" spans="1:3" x14ac:dyDescent="0.3">
      <c r="A160">
        <v>160</v>
      </c>
      <c r="B160" t="s">
        <v>437</v>
      </c>
      <c r="C160" t="s">
        <v>439</v>
      </c>
    </row>
    <row r="161" spans="1:4" x14ac:dyDescent="0.3">
      <c r="A161">
        <v>161</v>
      </c>
      <c r="B161" t="s">
        <v>439</v>
      </c>
    </row>
    <row r="162" spans="1:4" x14ac:dyDescent="0.3">
      <c r="A162">
        <v>162</v>
      </c>
      <c r="B162" t="s">
        <v>439</v>
      </c>
      <c r="C162" t="s">
        <v>441</v>
      </c>
    </row>
    <row r="163" spans="1:4" x14ac:dyDescent="0.3">
      <c r="A163">
        <v>163</v>
      </c>
      <c r="B163" t="s">
        <v>439</v>
      </c>
    </row>
    <row r="164" spans="1:4" x14ac:dyDescent="0.3">
      <c r="A164">
        <v>164</v>
      </c>
      <c r="B164" t="s">
        <v>439</v>
      </c>
      <c r="C164" t="s">
        <v>441</v>
      </c>
    </row>
    <row r="165" spans="1:4" x14ac:dyDescent="0.3">
      <c r="A165">
        <v>165</v>
      </c>
      <c r="B165" t="s">
        <v>440</v>
      </c>
    </row>
    <row r="166" spans="1:4" x14ac:dyDescent="0.3">
      <c r="A166">
        <v>166</v>
      </c>
      <c r="B166" t="s">
        <v>441</v>
      </c>
    </row>
    <row r="167" spans="1:4" x14ac:dyDescent="0.3">
      <c r="A167">
        <v>167</v>
      </c>
      <c r="B167" t="s">
        <v>441</v>
      </c>
    </row>
    <row r="168" spans="1:4" x14ac:dyDescent="0.3">
      <c r="A168">
        <v>168</v>
      </c>
      <c r="B168" t="s">
        <v>441</v>
      </c>
      <c r="C168" t="s">
        <v>443</v>
      </c>
    </row>
    <row r="169" spans="1:4" x14ac:dyDescent="0.3">
      <c r="A169">
        <v>169</v>
      </c>
      <c r="B169" t="s">
        <v>442</v>
      </c>
    </row>
    <row r="170" spans="1:4" x14ac:dyDescent="0.3">
      <c r="A170">
        <v>170</v>
      </c>
      <c r="B170" t="s">
        <v>441</v>
      </c>
      <c r="C170" t="s">
        <v>443</v>
      </c>
    </row>
    <row r="171" spans="1:4" x14ac:dyDescent="0.3">
      <c r="A171">
        <v>171</v>
      </c>
      <c r="B171" t="s">
        <v>443</v>
      </c>
    </row>
    <row r="172" spans="1:4" x14ac:dyDescent="0.3">
      <c r="A172">
        <v>172</v>
      </c>
      <c r="B172" t="s">
        <v>443</v>
      </c>
    </row>
    <row r="173" spans="1:4" x14ac:dyDescent="0.3">
      <c r="A173">
        <v>173</v>
      </c>
      <c r="B173" t="s">
        <v>443</v>
      </c>
    </row>
    <row r="174" spans="1:4" x14ac:dyDescent="0.3">
      <c r="A174">
        <v>174</v>
      </c>
      <c r="B174" t="s">
        <v>443</v>
      </c>
      <c r="C174" t="s">
        <v>445</v>
      </c>
    </row>
    <row r="175" spans="1:4" x14ac:dyDescent="0.3">
      <c r="A175">
        <v>175</v>
      </c>
      <c r="B175" t="s">
        <v>444</v>
      </c>
    </row>
    <row r="176" spans="1:4" x14ac:dyDescent="0.3">
      <c r="A176">
        <v>176</v>
      </c>
      <c r="B176" t="s">
        <v>443</v>
      </c>
      <c r="C176" t="s">
        <v>444</v>
      </c>
      <c r="D176" t="s">
        <v>445</v>
      </c>
    </row>
    <row r="177" spans="1:4" x14ac:dyDescent="0.3">
      <c r="A177">
        <v>177</v>
      </c>
      <c r="B177" t="s">
        <v>445</v>
      </c>
    </row>
    <row r="178" spans="1:4" x14ac:dyDescent="0.3">
      <c r="A178">
        <v>178</v>
      </c>
      <c r="B178" t="s">
        <v>445</v>
      </c>
    </row>
    <row r="179" spans="1:4" x14ac:dyDescent="0.3">
      <c r="A179">
        <v>179</v>
      </c>
      <c r="B179" t="s">
        <v>445</v>
      </c>
    </row>
    <row r="180" spans="1:4" x14ac:dyDescent="0.3">
      <c r="A180">
        <v>180</v>
      </c>
      <c r="B180" t="s">
        <v>445</v>
      </c>
      <c r="C180" t="s">
        <v>446</v>
      </c>
      <c r="D180" t="s">
        <v>447</v>
      </c>
    </row>
    <row r="181" spans="1:4" x14ac:dyDescent="0.3">
      <c r="A181">
        <v>181</v>
      </c>
      <c r="B181" t="s">
        <v>446</v>
      </c>
    </row>
    <row r="182" spans="1:4" x14ac:dyDescent="0.3">
      <c r="A182">
        <v>182</v>
      </c>
      <c r="B182" t="s">
        <v>447</v>
      </c>
    </row>
    <row r="183" spans="1:4" x14ac:dyDescent="0.3">
      <c r="A183">
        <v>183</v>
      </c>
      <c r="B183" t="s">
        <v>447</v>
      </c>
    </row>
    <row r="184" spans="1:4" x14ac:dyDescent="0.3">
      <c r="A184">
        <v>184</v>
      </c>
      <c r="B184" t="s">
        <v>447</v>
      </c>
      <c r="C184" t="s">
        <v>449</v>
      </c>
    </row>
    <row r="185" spans="1:4" x14ac:dyDescent="0.3">
      <c r="A185">
        <v>185</v>
      </c>
      <c r="B185" t="s">
        <v>448</v>
      </c>
    </row>
    <row r="186" spans="1:4" x14ac:dyDescent="0.3">
      <c r="A186">
        <v>186</v>
      </c>
      <c r="B186" t="s">
        <v>447</v>
      </c>
      <c r="C186" t="s">
        <v>449</v>
      </c>
    </row>
    <row r="187" spans="1:4" x14ac:dyDescent="0.3">
      <c r="A187">
        <v>187</v>
      </c>
      <c r="B187" t="s">
        <v>448</v>
      </c>
      <c r="C187" t="s">
        <v>449</v>
      </c>
    </row>
    <row r="188" spans="1:4" x14ac:dyDescent="0.3">
      <c r="A188">
        <v>188</v>
      </c>
      <c r="B188" t="s">
        <v>449</v>
      </c>
    </row>
    <row r="189" spans="1:4" x14ac:dyDescent="0.3">
      <c r="A189">
        <v>189</v>
      </c>
      <c r="B189" t="s">
        <v>449</v>
      </c>
    </row>
    <row r="190" spans="1:4" x14ac:dyDescent="0.3">
      <c r="A190">
        <v>190</v>
      </c>
      <c r="B190" t="s">
        <v>449</v>
      </c>
      <c r="C190" t="s">
        <v>450</v>
      </c>
    </row>
    <row r="191" spans="1:4" x14ac:dyDescent="0.3">
      <c r="A191">
        <v>191</v>
      </c>
      <c r="B191" t="s">
        <v>425</v>
      </c>
    </row>
    <row r="192" spans="1:4" x14ac:dyDescent="0.3">
      <c r="A192">
        <v>192</v>
      </c>
      <c r="B192" t="s">
        <v>449</v>
      </c>
      <c r="C192" t="s">
        <v>450</v>
      </c>
    </row>
    <row r="193" spans="1:3" x14ac:dyDescent="0.3">
      <c r="A193">
        <v>193</v>
      </c>
      <c r="B193" t="s">
        <v>425</v>
      </c>
    </row>
    <row r="194" spans="1:3" x14ac:dyDescent="0.3">
      <c r="A194">
        <v>194</v>
      </c>
      <c r="B194" t="s">
        <v>450</v>
      </c>
    </row>
    <row r="195" spans="1:3" x14ac:dyDescent="0.3">
      <c r="A195">
        <v>195</v>
      </c>
      <c r="B195" t="s">
        <v>450</v>
      </c>
    </row>
    <row r="196" spans="1:3" x14ac:dyDescent="0.3">
      <c r="A196">
        <v>196</v>
      </c>
      <c r="B196" t="s">
        <v>450</v>
      </c>
      <c r="C196" t="s">
        <v>452</v>
      </c>
    </row>
    <row r="197" spans="1:3" x14ac:dyDescent="0.3">
      <c r="A197">
        <v>197</v>
      </c>
      <c r="B197" t="s">
        <v>451</v>
      </c>
    </row>
    <row r="198" spans="1:3" x14ac:dyDescent="0.3">
      <c r="A198">
        <v>198</v>
      </c>
      <c r="B198" t="s">
        <v>450</v>
      </c>
      <c r="C198" t="s">
        <v>452</v>
      </c>
    </row>
    <row r="199" spans="1:3" x14ac:dyDescent="0.3">
      <c r="A199">
        <v>199</v>
      </c>
      <c r="B199" t="s">
        <v>452</v>
      </c>
    </row>
    <row r="200" spans="1:3" x14ac:dyDescent="0.3">
      <c r="A200">
        <v>200</v>
      </c>
      <c r="B200" t="s">
        <v>452</v>
      </c>
    </row>
    <row r="201" spans="1:3" x14ac:dyDescent="0.3">
      <c r="A201">
        <v>201</v>
      </c>
      <c r="B201" t="s">
        <v>452</v>
      </c>
    </row>
    <row r="202" spans="1:3" x14ac:dyDescent="0.3">
      <c r="A202">
        <v>202</v>
      </c>
      <c r="B202" t="s">
        <v>452</v>
      </c>
    </row>
    <row r="203" spans="1:3" x14ac:dyDescent="0.3">
      <c r="A203">
        <v>203</v>
      </c>
      <c r="B203" t="s">
        <v>453</v>
      </c>
    </row>
    <row r="204" spans="1:3" x14ac:dyDescent="0.3">
      <c r="A204">
        <v>204</v>
      </c>
      <c r="B204" t="s">
        <v>452</v>
      </c>
      <c r="C204" t="s">
        <v>454</v>
      </c>
    </row>
    <row r="205" spans="1:3" x14ac:dyDescent="0.3">
      <c r="A205">
        <v>205</v>
      </c>
      <c r="B205" t="s">
        <v>453</v>
      </c>
    </row>
    <row r="206" spans="1:3" x14ac:dyDescent="0.3">
      <c r="A206">
        <v>206</v>
      </c>
      <c r="B206" t="s">
        <v>454</v>
      </c>
    </row>
    <row r="207" spans="1:3" x14ac:dyDescent="0.3">
      <c r="A207">
        <v>207</v>
      </c>
      <c r="B207" t="s">
        <v>454</v>
      </c>
    </row>
    <row r="208" spans="1:3" x14ac:dyDescent="0.3">
      <c r="A208">
        <v>208</v>
      </c>
      <c r="B208" t="s">
        <v>454</v>
      </c>
    </row>
    <row r="209" spans="1:3" x14ac:dyDescent="0.3">
      <c r="A209">
        <v>209</v>
      </c>
      <c r="B209" t="s">
        <v>455</v>
      </c>
      <c r="C209" t="s">
        <v>456</v>
      </c>
    </row>
    <row r="210" spans="1:3" x14ac:dyDescent="0.3">
      <c r="A210">
        <v>210</v>
      </c>
      <c r="B210" t="s">
        <v>457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458</v>
      </c>
    </row>
    <row r="223" spans="1:3" x14ac:dyDescent="0.3">
      <c r="A223">
        <v>223</v>
      </c>
      <c r="B223" t="s">
        <v>459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461</v>
      </c>
    </row>
    <row r="227" spans="1:2" x14ac:dyDescent="0.3">
      <c r="A227">
        <v>227</v>
      </c>
      <c r="B227" t="s">
        <v>460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462</v>
      </c>
    </row>
    <row r="231" spans="1:2" x14ac:dyDescent="0.3">
      <c r="A231">
        <v>231</v>
      </c>
    </row>
    <row r="232" spans="1:2" x14ac:dyDescent="0.3">
      <c r="A232">
        <v>232</v>
      </c>
      <c r="B232" t="s">
        <v>462</v>
      </c>
    </row>
    <row r="233" spans="1:2" x14ac:dyDescent="0.3">
      <c r="A233">
        <v>233</v>
      </c>
    </row>
    <row r="234" spans="1:2" x14ac:dyDescent="0.3">
      <c r="A234">
        <v>234</v>
      </c>
      <c r="B234" t="s">
        <v>463</v>
      </c>
    </row>
    <row r="235" spans="1:2" x14ac:dyDescent="0.3">
      <c r="A235">
        <v>235</v>
      </c>
      <c r="B235" t="s">
        <v>463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250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251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252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253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254</v>
      </c>
    </row>
    <row r="7" spans="1:4" x14ac:dyDescent="0.3">
      <c r="C7" t="s">
        <v>339</v>
      </c>
      <c r="D7" s="16" t="s">
        <v>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257</v>
      </c>
      <c r="B1" s="15">
        <v>0.66666666666666663</v>
      </c>
      <c r="C1" s="15">
        <v>0.5</v>
      </c>
      <c r="D1">
        <v>2.4</v>
      </c>
      <c r="E1">
        <v>1</v>
      </c>
      <c r="F1" t="s">
        <v>282</v>
      </c>
    </row>
    <row r="2" spans="1:6" x14ac:dyDescent="0.3">
      <c r="A2" t="s">
        <v>258</v>
      </c>
      <c r="B2" s="15">
        <v>-0.33333333333333331</v>
      </c>
      <c r="C2" s="15">
        <v>0.5</v>
      </c>
      <c r="D2">
        <v>4.8</v>
      </c>
      <c r="E2">
        <v>1</v>
      </c>
      <c r="F2" t="s">
        <v>282</v>
      </c>
    </row>
    <row r="3" spans="1:6" x14ac:dyDescent="0.3">
      <c r="A3" t="s">
        <v>259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282</v>
      </c>
    </row>
    <row r="4" spans="1:6" x14ac:dyDescent="0.3">
      <c r="A4" t="s">
        <v>260</v>
      </c>
      <c r="B4" s="15">
        <v>-0.33333333333333331</v>
      </c>
      <c r="C4" s="15">
        <v>0.5</v>
      </c>
      <c r="D4">
        <v>90</v>
      </c>
      <c r="E4">
        <v>2</v>
      </c>
      <c r="F4" t="s">
        <v>282</v>
      </c>
    </row>
    <row r="5" spans="1:6" x14ac:dyDescent="0.3">
      <c r="A5" t="s">
        <v>261</v>
      </c>
      <c r="B5" s="15">
        <v>0.66666666666666663</v>
      </c>
      <c r="C5" s="15">
        <v>0.5</v>
      </c>
      <c r="D5">
        <v>172.44</v>
      </c>
      <c r="E5">
        <v>3</v>
      </c>
      <c r="F5" t="s">
        <v>282</v>
      </c>
    </row>
    <row r="6" spans="1:6" x14ac:dyDescent="0.3">
      <c r="A6" t="s">
        <v>262</v>
      </c>
      <c r="B6" s="15">
        <v>-0.33333333333333331</v>
      </c>
      <c r="C6" s="15">
        <v>0.5</v>
      </c>
      <c r="D6">
        <v>4.18</v>
      </c>
      <c r="E6">
        <v>3</v>
      </c>
      <c r="F6" t="s">
        <v>282</v>
      </c>
    </row>
    <row r="8" spans="1:6" x14ac:dyDescent="0.3">
      <c r="A8" t="s">
        <v>263</v>
      </c>
      <c r="B8" s="15">
        <v>-1</v>
      </c>
      <c r="C8" s="15">
        <v>0.5</v>
      </c>
      <c r="D8">
        <v>0.51100000000000001</v>
      </c>
      <c r="E8">
        <v>1</v>
      </c>
      <c r="F8" t="s">
        <v>283</v>
      </c>
    </row>
    <row r="9" spans="1:6" x14ac:dyDescent="0.3">
      <c r="A9" t="s">
        <v>266</v>
      </c>
      <c r="B9" s="15">
        <v>0</v>
      </c>
      <c r="C9" s="15">
        <v>0.5</v>
      </c>
      <c r="D9" t="s">
        <v>280</v>
      </c>
      <c r="E9">
        <v>1</v>
      </c>
      <c r="F9" t="s">
        <v>283</v>
      </c>
    </row>
    <row r="10" spans="1:6" x14ac:dyDescent="0.3">
      <c r="A10" t="s">
        <v>264</v>
      </c>
      <c r="B10" s="15">
        <v>-1</v>
      </c>
      <c r="C10" s="15">
        <v>0.5</v>
      </c>
      <c r="D10">
        <v>105.67</v>
      </c>
      <c r="E10">
        <v>2</v>
      </c>
      <c r="F10" t="s">
        <v>283</v>
      </c>
    </row>
    <row r="11" spans="1:6" x14ac:dyDescent="0.3">
      <c r="A11" t="s">
        <v>267</v>
      </c>
      <c r="B11" s="15">
        <v>0</v>
      </c>
      <c r="C11" s="15">
        <v>0.5</v>
      </c>
      <c r="D11" t="s">
        <v>279</v>
      </c>
      <c r="E11">
        <v>2</v>
      </c>
      <c r="F11" t="s">
        <v>283</v>
      </c>
    </row>
    <row r="12" spans="1:6" x14ac:dyDescent="0.3">
      <c r="A12" t="s">
        <v>265</v>
      </c>
      <c r="B12" s="15">
        <v>-1</v>
      </c>
      <c r="C12" s="15">
        <v>0.5</v>
      </c>
      <c r="D12">
        <v>1776.8</v>
      </c>
      <c r="E12">
        <v>3</v>
      </c>
      <c r="F12" t="s">
        <v>283</v>
      </c>
    </row>
    <row r="13" spans="1:6" x14ac:dyDescent="0.3">
      <c r="A13" t="s">
        <v>268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269</v>
      </c>
      <c r="B15" s="15">
        <v>0</v>
      </c>
      <c r="C15" s="15">
        <v>1</v>
      </c>
      <c r="D15">
        <v>0</v>
      </c>
      <c r="F15" t="s">
        <v>284</v>
      </c>
    </row>
    <row r="16" spans="1:6" x14ac:dyDescent="0.3">
      <c r="A16" t="s">
        <v>270</v>
      </c>
      <c r="B16" s="15">
        <v>0</v>
      </c>
      <c r="C16" s="15">
        <v>1</v>
      </c>
      <c r="D16">
        <v>0</v>
      </c>
      <c r="F16" t="s">
        <v>284</v>
      </c>
    </row>
    <row r="17" spans="1:6" x14ac:dyDescent="0.3">
      <c r="A17" t="s">
        <v>271</v>
      </c>
      <c r="B17" s="15">
        <v>0</v>
      </c>
      <c r="C17" s="15">
        <v>1</v>
      </c>
      <c r="D17">
        <v>91190</v>
      </c>
      <c r="F17" t="s">
        <v>284</v>
      </c>
    </row>
    <row r="18" spans="1:6" x14ac:dyDescent="0.3">
      <c r="A18" t="s">
        <v>272</v>
      </c>
      <c r="B18" t="s">
        <v>274</v>
      </c>
      <c r="C18" s="15">
        <v>1</v>
      </c>
      <c r="D18">
        <v>80.39</v>
      </c>
      <c r="F18" t="s">
        <v>284</v>
      </c>
    </row>
    <row r="20" spans="1:6" x14ac:dyDescent="0.3">
      <c r="A20" t="s">
        <v>273</v>
      </c>
      <c r="B20" s="15">
        <v>0</v>
      </c>
      <c r="D20">
        <v>125090</v>
      </c>
      <c r="F20" t="s">
        <v>285</v>
      </c>
    </row>
    <row r="22" spans="1:6" x14ac:dyDescent="0.3">
      <c r="A22" t="s">
        <v>275</v>
      </c>
      <c r="B22" s="15" t="s">
        <v>276</v>
      </c>
      <c r="D22" t="s">
        <v>278</v>
      </c>
      <c r="E22" t="s">
        <v>277</v>
      </c>
      <c r="F22" t="s">
        <v>281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288</v>
      </c>
      <c r="B1" t="s">
        <v>287</v>
      </c>
      <c r="C1">
        <f>(D1)/1.660538904E-27</f>
        <v>1</v>
      </c>
      <c r="D1" s="16">
        <f>(1.660538904E-27)*'SI Units'!C2</f>
        <v>1.660538904E-27</v>
      </c>
      <c r="E1" t="s">
        <v>292</v>
      </c>
    </row>
    <row r="2" spans="1:5" x14ac:dyDescent="0.3">
      <c r="A2" t="s">
        <v>289</v>
      </c>
      <c r="B2" t="s">
        <v>290</v>
      </c>
      <c r="C2">
        <f>(D2)/(1.6021766208E-19)</f>
        <v>1</v>
      </c>
      <c r="D2" s="16">
        <f>(1.6021766208E-19)*'Derived SI Units'!C6</f>
        <v>1.6021766208000001E-19</v>
      </c>
      <c r="E2" t="s">
        <v>291</v>
      </c>
    </row>
    <row r="3" spans="1:5" x14ac:dyDescent="0.3">
      <c r="A3" t="s">
        <v>340</v>
      </c>
      <c r="C3" s="17">
        <v>6.0221409000000001E+23</v>
      </c>
      <c r="D3" s="16">
        <v>1</v>
      </c>
      <c r="E3" t="s">
        <v>295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300</v>
      </c>
      <c r="B1" t="s">
        <v>295</v>
      </c>
      <c r="C1">
        <v>1</v>
      </c>
    </row>
    <row r="2" spans="1:3" x14ac:dyDescent="0.3">
      <c r="A2" t="s">
        <v>298</v>
      </c>
      <c r="B2" t="s">
        <v>292</v>
      </c>
      <c r="C2">
        <v>1</v>
      </c>
    </row>
    <row r="3" spans="1:3" x14ac:dyDescent="0.3">
      <c r="A3" t="s">
        <v>301</v>
      </c>
      <c r="B3" t="s">
        <v>338</v>
      </c>
      <c r="C3">
        <v>1</v>
      </c>
    </row>
    <row r="4" spans="1:3" x14ac:dyDescent="0.3">
      <c r="A4" t="s">
        <v>297</v>
      </c>
      <c r="B4" t="s">
        <v>293</v>
      </c>
      <c r="C4">
        <v>1</v>
      </c>
    </row>
    <row r="5" spans="1:3" x14ac:dyDescent="0.3">
      <c r="A5" t="s">
        <v>299</v>
      </c>
      <c r="B5" t="s">
        <v>294</v>
      </c>
      <c r="C5">
        <v>1</v>
      </c>
    </row>
    <row r="6" spans="1:3" x14ac:dyDescent="0.3">
      <c r="A6" t="s">
        <v>498</v>
      </c>
      <c r="B6" t="s">
        <v>255</v>
      </c>
      <c r="C6">
        <v>1</v>
      </c>
    </row>
    <row r="7" spans="1:3" x14ac:dyDescent="0.3">
      <c r="A7" t="s">
        <v>302</v>
      </c>
      <c r="B7" t="s">
        <v>296</v>
      </c>
      <c r="C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303</v>
      </c>
      <c r="B1" t="s">
        <v>326</v>
      </c>
      <c r="C1">
        <f>('SI Units'!C5)^2</f>
        <v>1</v>
      </c>
    </row>
    <row r="2" spans="1:3" x14ac:dyDescent="0.3">
      <c r="A2" t="s">
        <v>304</v>
      </c>
      <c r="B2" t="s">
        <v>327</v>
      </c>
    </row>
    <row r="3" spans="1:3" x14ac:dyDescent="0.3">
      <c r="A3" t="s">
        <v>305</v>
      </c>
      <c r="B3" t="s">
        <v>11</v>
      </c>
    </row>
    <row r="4" spans="1:3" x14ac:dyDescent="0.3">
      <c r="A4" t="s">
        <v>306</v>
      </c>
      <c r="B4" t="s">
        <v>63</v>
      </c>
      <c r="C4">
        <f>'SI Units'!C2*'SI Units'!C4*'SI Units'!C5^-2</f>
        <v>1</v>
      </c>
    </row>
    <row r="5" spans="1:3" x14ac:dyDescent="0.3">
      <c r="A5" t="s">
        <v>307</v>
      </c>
      <c r="B5" t="s">
        <v>100</v>
      </c>
      <c r="C5">
        <f>'Derived SI Units'!C4*('Derived SI Units'!C4)^2</f>
        <v>1</v>
      </c>
    </row>
    <row r="6" spans="1:3" x14ac:dyDescent="0.3">
      <c r="A6" t="s">
        <v>308</v>
      </c>
      <c r="B6" t="s">
        <v>291</v>
      </c>
      <c r="C6">
        <f>'SI Units'!C2*('SI Units'!C4)^2*('SI Units'!C5)^-2</f>
        <v>1</v>
      </c>
    </row>
    <row r="7" spans="1:3" x14ac:dyDescent="0.3">
      <c r="A7" t="s">
        <v>309</v>
      </c>
      <c r="B7" t="s">
        <v>26</v>
      </c>
      <c r="C7">
        <f>'SI Units'!C2*('SI Units'!C4)^2*'SI Units'!C5^-3</f>
        <v>1</v>
      </c>
    </row>
    <row r="8" spans="1:3" x14ac:dyDescent="0.3">
      <c r="A8" t="s">
        <v>310</v>
      </c>
      <c r="B8" t="s">
        <v>62</v>
      </c>
      <c r="C8">
        <f>'SI Units'!C6*'SI Units'!C5</f>
        <v>1</v>
      </c>
    </row>
    <row r="9" spans="1:3" x14ac:dyDescent="0.3">
      <c r="A9" t="s">
        <v>311</v>
      </c>
      <c r="B9" t="s">
        <v>23</v>
      </c>
    </row>
    <row r="10" spans="1:3" x14ac:dyDescent="0.3">
      <c r="A10" t="s">
        <v>322</v>
      </c>
      <c r="B10" t="s">
        <v>333</v>
      </c>
    </row>
    <row r="11" spans="1:3" x14ac:dyDescent="0.3">
      <c r="A11" t="s">
        <v>321</v>
      </c>
      <c r="B11" t="s">
        <v>332</v>
      </c>
    </row>
    <row r="12" spans="1:3" x14ac:dyDescent="0.3">
      <c r="A12" t="s">
        <v>312</v>
      </c>
      <c r="B12" t="s">
        <v>228</v>
      </c>
    </row>
    <row r="13" spans="1:3" x14ac:dyDescent="0.3">
      <c r="A13" t="s">
        <v>313</v>
      </c>
      <c r="B13" t="s">
        <v>336</v>
      </c>
    </row>
    <row r="14" spans="1:3" x14ac:dyDescent="0.3">
      <c r="A14" t="s">
        <v>314</v>
      </c>
      <c r="B14" t="s">
        <v>11</v>
      </c>
    </row>
    <row r="15" spans="1:3" x14ac:dyDescent="0.3">
      <c r="A15" t="s">
        <v>315</v>
      </c>
      <c r="B15" t="s">
        <v>328</v>
      </c>
    </row>
    <row r="16" spans="1:3" x14ac:dyDescent="0.3">
      <c r="A16" t="s">
        <v>316</v>
      </c>
      <c r="B16" t="s">
        <v>329</v>
      </c>
    </row>
    <row r="17" spans="1:2" x14ac:dyDescent="0.3">
      <c r="A17" t="s">
        <v>317</v>
      </c>
      <c r="B17" t="s">
        <v>1</v>
      </c>
    </row>
    <row r="18" spans="1:2" x14ac:dyDescent="0.3">
      <c r="A18" t="s">
        <v>318</v>
      </c>
      <c r="B18" t="s">
        <v>337</v>
      </c>
    </row>
    <row r="19" spans="1:2" x14ac:dyDescent="0.3">
      <c r="A19" t="s">
        <v>319</v>
      </c>
      <c r="B19" t="s">
        <v>330</v>
      </c>
    </row>
    <row r="20" spans="1:2" x14ac:dyDescent="0.3">
      <c r="A20" t="s">
        <v>320</v>
      </c>
      <c r="B20" t="s">
        <v>331</v>
      </c>
    </row>
    <row r="21" spans="1:2" x14ac:dyDescent="0.3">
      <c r="A21" t="s">
        <v>323</v>
      </c>
      <c r="B21" t="s">
        <v>334</v>
      </c>
    </row>
    <row r="22" spans="1:2" x14ac:dyDescent="0.3">
      <c r="A22" t="s">
        <v>324</v>
      </c>
      <c r="B22" t="s">
        <v>335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465</v>
      </c>
      <c r="B1">
        <f>(8.314*'Derived SI Units'!C6)/'SI Units'!C1</f>
        <v>8.3140000000000001</v>
      </c>
    </row>
    <row r="2" spans="1:2" x14ac:dyDescent="0.3">
      <c r="A2" t="s">
        <v>472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 Table</vt:lpstr>
      <vt:lpstr>Elements</vt:lpstr>
      <vt:lpstr>Sheet11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2026-02-07T20:07:43Z</dcterms:modified>
</cp:coreProperties>
</file>