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BF8B4CBC-32CF-4F02-B240-95DDDC4E6762}" xr6:coauthVersionLast="47" xr6:coauthVersionMax="47" xr10:uidLastSave="{00000000-0000-0000-0000-000000000000}"/>
  <bookViews>
    <workbookView xWindow="1740" yWindow="105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94" i="2" l="1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3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" i="2"/>
  <c r="AQ1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2" i="2"/>
  <c r="AO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1" i="2"/>
  <c r="AP2" i="2"/>
  <c r="I1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1" i="2"/>
  <c r="I2" i="2"/>
  <c r="I3" i="2"/>
  <c r="I4" i="2"/>
  <c r="I5" i="2"/>
  <c r="I6" i="2"/>
  <c r="I7" i="2"/>
  <c r="I8" i="2"/>
  <c r="I9" i="2"/>
  <c r="I10" i="2"/>
  <c r="I11" i="2"/>
  <c r="I12" i="2"/>
  <c r="AM1" i="2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N2" i="2" s="1"/>
  <c r="AG3" i="2"/>
  <c r="AN3" i="2" s="1"/>
  <c r="AG4" i="2"/>
  <c r="AN4" i="2" s="1"/>
  <c r="AG5" i="2"/>
  <c r="AN5" i="2" s="1"/>
  <c r="AG6" i="2"/>
  <c r="AN6" i="2" s="1"/>
  <c r="AG7" i="2"/>
  <c r="AN7" i="2" s="1"/>
  <c r="AG8" i="2"/>
  <c r="AG9" i="2"/>
  <c r="AN9" i="2" s="1"/>
  <c r="AG10" i="2"/>
  <c r="AN10" i="2" s="1"/>
  <c r="AG11" i="2"/>
  <c r="AN11" i="2" s="1"/>
  <c r="AG12" i="2"/>
  <c r="AR12" i="2" s="1"/>
  <c r="AG13" i="2"/>
  <c r="I13" i="2" s="1"/>
  <c r="AG14" i="2"/>
  <c r="I14" i="2" s="1"/>
  <c r="AR14" i="2" s="1"/>
  <c r="AG15" i="2"/>
  <c r="I15" i="2" s="1"/>
  <c r="AG16" i="2"/>
  <c r="AN16" i="2" s="1"/>
  <c r="AG17" i="2"/>
  <c r="I17" i="2" s="1"/>
  <c r="AG18" i="2"/>
  <c r="I18" i="2" s="1"/>
  <c r="AP18" i="2" s="1"/>
  <c r="AG19" i="2"/>
  <c r="I19" i="2" s="1"/>
  <c r="AI19" i="2" s="1"/>
  <c r="AG20" i="2"/>
  <c r="AN20" i="2" s="1"/>
  <c r="AG21" i="2"/>
  <c r="AN21" i="2" s="1"/>
  <c r="AG22" i="2"/>
  <c r="I22" i="2" s="1"/>
  <c r="AI22" i="2" s="1"/>
  <c r="AG23" i="2"/>
  <c r="AN23" i="2" s="1"/>
  <c r="AG24" i="2"/>
  <c r="I24" i="2" s="1"/>
  <c r="AI24" i="2" s="1"/>
  <c r="AG25" i="2"/>
  <c r="I25" i="2" s="1"/>
  <c r="AI25" i="2" s="1"/>
  <c r="AG26" i="2"/>
  <c r="I26" i="2" s="1"/>
  <c r="AR26" i="2" s="1"/>
  <c r="AG27" i="2"/>
  <c r="I27" i="2" s="1"/>
  <c r="AI27" i="2" s="1"/>
  <c r="AG28" i="2"/>
  <c r="I28" i="2" s="1"/>
  <c r="AG29" i="2"/>
  <c r="AN29" i="2" s="1"/>
  <c r="AG30" i="2"/>
  <c r="AG31" i="2"/>
  <c r="AG32" i="2"/>
  <c r="I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P40" i="2" s="1"/>
  <c r="AG41" i="2"/>
  <c r="I41" i="2" s="1"/>
  <c r="AP41" i="2" s="1"/>
  <c r="AG42" i="2"/>
  <c r="AN42" i="2" s="1"/>
  <c r="AG43" i="2"/>
  <c r="AN43" i="2" s="1"/>
  <c r="AG44" i="2"/>
  <c r="AG45" i="2"/>
  <c r="AG46" i="2"/>
  <c r="I46" i="2" s="1"/>
  <c r="AR46" i="2" s="1"/>
  <c r="AG47" i="2"/>
  <c r="AN47" i="2" s="1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I62" i="2" s="1"/>
  <c r="AR62" i="2" s="1"/>
  <c r="AG63" i="2"/>
  <c r="I63" i="2" s="1"/>
  <c r="AR63" i="2" s="1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N82" i="2" s="1"/>
  <c r="AG83" i="2"/>
  <c r="I83" i="2" s="1"/>
  <c r="AR83" i="2" s="1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N95" i="2" s="1"/>
  <c r="AG96" i="2"/>
  <c r="AN96" i="2" s="1"/>
  <c r="AG97" i="2"/>
  <c r="AN97" i="2" s="1"/>
  <c r="AG98" i="2"/>
  <c r="I98" i="2" s="1"/>
  <c r="AR98" i="2" s="1"/>
  <c r="AG99" i="2"/>
  <c r="I99" i="2" s="1"/>
  <c r="AR99" i="2" s="1"/>
  <c r="AG100" i="2"/>
  <c r="I100" i="2" s="1"/>
  <c r="AR100" i="2" s="1"/>
  <c r="AG101" i="2"/>
  <c r="AN101" i="2" s="1"/>
  <c r="AG102" i="2"/>
  <c r="AN102" i="2" s="1"/>
  <c r="AG103" i="2"/>
  <c r="I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44" i="2"/>
  <c r="I45" i="2"/>
  <c r="I30" i="2"/>
  <c r="I31" i="2"/>
  <c r="AN34" i="2"/>
  <c r="I35" i="2"/>
  <c r="AP35" i="2" s="1"/>
  <c r="AN61" i="2"/>
  <c r="I95" i="2"/>
  <c r="AR95" i="2" s="1"/>
  <c r="I96" i="2"/>
  <c r="AR96" i="2" s="1"/>
  <c r="I59" i="2"/>
  <c r="AR59" i="2" s="1"/>
  <c r="I78" i="2"/>
  <c r="AP78" i="2" s="1"/>
  <c r="I79" i="2"/>
  <c r="AP79" i="2" s="1"/>
  <c r="AI3" i="2"/>
  <c r="AN63" i="2"/>
  <c r="AN77" i="2"/>
  <c r="AN78" i="2"/>
  <c r="AN79" i="2"/>
  <c r="AN80" i="2"/>
  <c r="AN62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H25" i="2" l="1"/>
  <c r="AP8" i="2"/>
  <c r="I82" i="2"/>
  <c r="AR82" i="2" s="1"/>
  <c r="AN98" i="2"/>
  <c r="I48" i="2"/>
  <c r="AP48" i="2" s="1"/>
  <c r="I47" i="2"/>
  <c r="AR47" i="2" s="1"/>
  <c r="AN84" i="2"/>
  <c r="AI95" i="2"/>
  <c r="AN83" i="2"/>
  <c r="AN118" i="2"/>
  <c r="AN116" i="2"/>
  <c r="I68" i="2"/>
  <c r="AR68" i="2" s="1"/>
  <c r="AN114" i="2"/>
  <c r="I102" i="2"/>
  <c r="AR102" i="2" s="1"/>
  <c r="I67" i="2"/>
  <c r="AR67" i="2" s="1"/>
  <c r="AN100" i="2"/>
  <c r="AN111" i="2"/>
  <c r="I101" i="2"/>
  <c r="AR101" i="2" s="1"/>
  <c r="AN99" i="2"/>
  <c r="AN110" i="2"/>
  <c r="AR114" i="2"/>
  <c r="AP114" i="2"/>
  <c r="AN115" i="2"/>
  <c r="I66" i="2"/>
  <c r="AR66" i="2" s="1"/>
  <c r="AN36" i="2"/>
  <c r="I16" i="2"/>
  <c r="I51" i="2"/>
  <c r="AI51" i="2" s="1"/>
  <c r="AN107" i="2"/>
  <c r="I42" i="2"/>
  <c r="AP42" i="2" s="1"/>
  <c r="AI96" i="2"/>
  <c r="AN104" i="2"/>
  <c r="I87" i="2"/>
  <c r="AI87" i="2" s="1"/>
  <c r="AH87" i="2" s="1"/>
  <c r="I112" i="2"/>
  <c r="AN8" i="2"/>
  <c r="AN86" i="2"/>
  <c r="AN103" i="2"/>
  <c r="AN1" i="2"/>
  <c r="AN64" i="2"/>
  <c r="AR111" i="2"/>
  <c r="AP111" i="2"/>
  <c r="AI111" i="2"/>
  <c r="AI110" i="2"/>
  <c r="AR110" i="2"/>
  <c r="AP110" i="2"/>
  <c r="AR107" i="2"/>
  <c r="AI107" i="2"/>
  <c r="AH107" i="2" s="1"/>
  <c r="I117" i="2"/>
  <c r="AR117" i="2" s="1"/>
  <c r="AN73" i="2"/>
  <c r="AI6" i="2"/>
  <c r="AH6" i="2" s="1"/>
  <c r="I94" i="2"/>
  <c r="AP94" i="2" s="1"/>
  <c r="AP98" i="2"/>
  <c r="AN72" i="2"/>
  <c r="I76" i="2"/>
  <c r="I92" i="2"/>
  <c r="AI92" i="2" s="1"/>
  <c r="AH92" i="2" s="1"/>
  <c r="AI7" i="2"/>
  <c r="AP95" i="2"/>
  <c r="AN60" i="2"/>
  <c r="AN71" i="2"/>
  <c r="I75" i="2"/>
  <c r="AP75" i="2" s="1"/>
  <c r="I91" i="2"/>
  <c r="AP91" i="2" s="1"/>
  <c r="AN69" i="2"/>
  <c r="I74" i="2"/>
  <c r="AI74" i="2" s="1"/>
  <c r="AH74" i="2" s="1"/>
  <c r="I89" i="2"/>
  <c r="AI89" i="2" s="1"/>
  <c r="AH89" i="2" s="1"/>
  <c r="I88" i="2"/>
  <c r="AI88" i="2" s="1"/>
  <c r="AH88" i="2" s="1"/>
  <c r="AN70" i="2"/>
  <c r="I108" i="2"/>
  <c r="AP108" i="2" s="1"/>
  <c r="AI99" i="2"/>
  <c r="AN41" i="2"/>
  <c r="I43" i="2"/>
  <c r="AR43" i="2" s="1"/>
  <c r="AI98" i="2"/>
  <c r="AN105" i="2"/>
  <c r="AP80" i="2"/>
  <c r="AI80" i="2"/>
  <c r="AR109" i="2"/>
  <c r="AP109" i="2"/>
  <c r="AI109" i="2"/>
  <c r="AR93" i="2"/>
  <c r="AP93" i="2"/>
  <c r="AI93" i="2"/>
  <c r="AR85" i="2"/>
  <c r="AP85" i="2"/>
  <c r="AI85" i="2"/>
  <c r="I65" i="2"/>
  <c r="AI65" i="2" s="1"/>
  <c r="AH65" i="2" s="1"/>
  <c r="AP77" i="2"/>
  <c r="AN85" i="2"/>
  <c r="I106" i="2"/>
  <c r="I90" i="2"/>
  <c r="AR90" i="2" s="1"/>
  <c r="I81" i="2"/>
  <c r="AP73" i="2"/>
  <c r="AI104" i="2"/>
  <c r="AN109" i="2"/>
  <c r="AN93" i="2"/>
  <c r="AP107" i="2"/>
  <c r="AR73" i="2"/>
  <c r="I113" i="2"/>
  <c r="AR113" i="2" s="1"/>
  <c r="I97" i="2"/>
  <c r="AR97" i="2" s="1"/>
  <c r="AI84" i="2"/>
  <c r="AP96" i="2"/>
  <c r="AI79" i="2"/>
  <c r="AP84" i="2"/>
  <c r="AI77" i="2"/>
  <c r="AH77" i="2" s="1"/>
  <c r="AP82" i="2"/>
  <c r="AN38" i="2"/>
  <c r="AN39" i="2"/>
  <c r="AN40" i="2"/>
  <c r="AN45" i="2"/>
  <c r="AN46" i="2"/>
  <c r="I49" i="2"/>
  <c r="AR49" i="2" s="1"/>
  <c r="I50" i="2"/>
  <c r="AR50" i="2" s="1"/>
  <c r="AN22" i="2"/>
  <c r="I23" i="2"/>
  <c r="AP23" i="2" s="1"/>
  <c r="AN24" i="2"/>
  <c r="AN25" i="2"/>
  <c r="I34" i="2"/>
  <c r="AP34" i="2" s="1"/>
  <c r="AN35" i="2"/>
  <c r="I37" i="2"/>
  <c r="AP37" i="2" s="1"/>
  <c r="AI4" i="2"/>
  <c r="AP5" i="2"/>
  <c r="AN18" i="2"/>
  <c r="AN19" i="2"/>
  <c r="AI62" i="2"/>
  <c r="AH62" i="2" s="1"/>
  <c r="AN27" i="2"/>
  <c r="AN26" i="2"/>
  <c r="I29" i="2"/>
  <c r="AR29" i="2" s="1"/>
  <c r="AR58" i="2"/>
  <c r="AI58" i="2"/>
  <c r="AP58" i="2"/>
  <c r="AP60" i="2"/>
  <c r="AI60" i="2"/>
  <c r="AR60" i="2"/>
  <c r="AI53" i="2"/>
  <c r="AH53" i="2" s="1"/>
  <c r="AR53" i="2"/>
  <c r="AP53" i="2"/>
  <c r="AI52" i="2"/>
  <c r="AH52" i="2" s="1"/>
  <c r="AP52" i="2"/>
  <c r="AR52" i="2"/>
  <c r="AP69" i="2"/>
  <c r="AN53" i="2"/>
  <c r="I57" i="2"/>
  <c r="I56" i="2"/>
  <c r="AI56" i="2" s="1"/>
  <c r="AH56" i="2" s="1"/>
  <c r="AN58" i="2"/>
  <c r="I55" i="2"/>
  <c r="AI55" i="2" s="1"/>
  <c r="I54" i="2"/>
  <c r="AI54" i="2" s="1"/>
  <c r="AH54" i="2" s="1"/>
  <c r="I61" i="2"/>
  <c r="AI64" i="2"/>
  <c r="AP46" i="2"/>
  <c r="AI47" i="2"/>
  <c r="AH47" i="2" s="1"/>
  <c r="AI63" i="2"/>
  <c r="AI69" i="2"/>
  <c r="AI46" i="2"/>
  <c r="AH46" i="2" s="1"/>
  <c r="AP47" i="2"/>
  <c r="AP68" i="2"/>
  <c r="AN52" i="2"/>
  <c r="AI68" i="2"/>
  <c r="AH68" i="2" s="1"/>
  <c r="AP44" i="2"/>
  <c r="AI44" i="2"/>
  <c r="AH44" i="2" s="1"/>
  <c r="AR44" i="2"/>
  <c r="AR33" i="2"/>
  <c r="AP33" i="2"/>
  <c r="AI33" i="2"/>
  <c r="AR31" i="2"/>
  <c r="AP31" i="2"/>
  <c r="AI31" i="2"/>
  <c r="AH31" i="2" s="1"/>
  <c r="AR28" i="2"/>
  <c r="AP28" i="2"/>
  <c r="AI28" i="2"/>
  <c r="AH28" i="2" s="1"/>
  <c r="AR37" i="2"/>
  <c r="AI45" i="2"/>
  <c r="AP45" i="2"/>
  <c r="AR45" i="2"/>
  <c r="AP36" i="2"/>
  <c r="AR36" i="2"/>
  <c r="AR30" i="2"/>
  <c r="AP30" i="2"/>
  <c r="AN15" i="2"/>
  <c r="AI41" i="2"/>
  <c r="AH41" i="2" s="1"/>
  <c r="AI26" i="2"/>
  <c r="AH26" i="2" s="1"/>
  <c r="AN17" i="2"/>
  <c r="AN33" i="2"/>
  <c r="AI2" i="2"/>
  <c r="AP26" i="2"/>
  <c r="AP25" i="2"/>
  <c r="AN32" i="2"/>
  <c r="AI42" i="2"/>
  <c r="AH42" i="2" s="1"/>
  <c r="AN31" i="2"/>
  <c r="I21" i="2"/>
  <c r="AP21" i="2" s="1"/>
  <c r="AR41" i="2"/>
  <c r="AN30" i="2"/>
  <c r="I20" i="2"/>
  <c r="AI20" i="2" s="1"/>
  <c r="AN44" i="2"/>
  <c r="AN28" i="2"/>
  <c r="AI11" i="2"/>
  <c r="AR27" i="2"/>
  <c r="AP16" i="2"/>
  <c r="AI16" i="2"/>
  <c r="AP17" i="2"/>
  <c r="AI17" i="2"/>
  <c r="AR15" i="2"/>
  <c r="AP15" i="2"/>
  <c r="AP13" i="2"/>
  <c r="AR13" i="2"/>
  <c r="AI13" i="2"/>
  <c r="AN12" i="2"/>
  <c r="AR25" i="2"/>
  <c r="AN13" i="2"/>
  <c r="AN14" i="2"/>
  <c r="AI8" i="2"/>
  <c r="AI18" i="2"/>
  <c r="AR8" i="2"/>
  <c r="AR22" i="2"/>
  <c r="AP1" i="2"/>
  <c r="AH19" i="2"/>
  <c r="AH86" i="2"/>
  <c r="AH71" i="2"/>
  <c r="AH51" i="2"/>
  <c r="AH110" i="2"/>
  <c r="AH3" i="2"/>
  <c r="AH70" i="2"/>
  <c r="AH27" i="2"/>
  <c r="AH22" i="2"/>
  <c r="AH73" i="2"/>
  <c r="AH39" i="2"/>
  <c r="AH38" i="2"/>
  <c r="AH4" i="2"/>
  <c r="AH24" i="2"/>
  <c r="AH72" i="2"/>
  <c r="AP14" i="2"/>
  <c r="AR80" i="2"/>
  <c r="AH84" i="2"/>
  <c r="AP88" i="2"/>
  <c r="AP72" i="2"/>
  <c r="AR40" i="2"/>
  <c r="AR79" i="2"/>
  <c r="AR24" i="2"/>
  <c r="AR39" i="2"/>
  <c r="AR78" i="2"/>
  <c r="AI100" i="2"/>
  <c r="AI83" i="2"/>
  <c r="AI67" i="2"/>
  <c r="AI15" i="2"/>
  <c r="AI82" i="2"/>
  <c r="AI66" i="2"/>
  <c r="AP12" i="2"/>
  <c r="AP87" i="2"/>
  <c r="AP71" i="2"/>
  <c r="AI30" i="2"/>
  <c r="AI14" i="2"/>
  <c r="AI59" i="2"/>
  <c r="AI105" i="2"/>
  <c r="AP27" i="2"/>
  <c r="AP86" i="2"/>
  <c r="AP70" i="2"/>
  <c r="AR7" i="2"/>
  <c r="AR38" i="2"/>
  <c r="AI12" i="2"/>
  <c r="AI103" i="2"/>
  <c r="AH80" i="2"/>
  <c r="AR91" i="2"/>
  <c r="AR75" i="2"/>
  <c r="AI40" i="2"/>
  <c r="AI78" i="2"/>
  <c r="AI118" i="2"/>
  <c r="AP24" i="2"/>
  <c r="AP83" i="2"/>
  <c r="AP67" i="2"/>
  <c r="AP51" i="2"/>
  <c r="AP105" i="2"/>
  <c r="AR51" i="2"/>
  <c r="AR35" i="2"/>
  <c r="AP39" i="2"/>
  <c r="AP104" i="2"/>
  <c r="AR19" i="2"/>
  <c r="AR3" i="2"/>
  <c r="AP38" i="2"/>
  <c r="AI91" i="2"/>
  <c r="AI75" i="2"/>
  <c r="AI115" i="2"/>
  <c r="AP64" i="2"/>
  <c r="AP118" i="2"/>
  <c r="AP102" i="2"/>
  <c r="AR17" i="2"/>
  <c r="AR48" i="2"/>
  <c r="AR32" i="2"/>
  <c r="AR103" i="2"/>
  <c r="AR71" i="2"/>
  <c r="AP7" i="2"/>
  <c r="AP22" i="2"/>
  <c r="AR2" i="2"/>
  <c r="AI36" i="2"/>
  <c r="AI114" i="2"/>
  <c r="AP63" i="2"/>
  <c r="AP117" i="2"/>
  <c r="AR16" i="2"/>
  <c r="AR86" i="2"/>
  <c r="AR70" i="2"/>
  <c r="AI116" i="2"/>
  <c r="AR18" i="2"/>
  <c r="AR72" i="2"/>
  <c r="AI35" i="2"/>
  <c r="AP19" i="2"/>
  <c r="AP3" i="2"/>
  <c r="AP62" i="2"/>
  <c r="AP116" i="2"/>
  <c r="AP100" i="2"/>
  <c r="AH64" i="2"/>
  <c r="AP115" i="2"/>
  <c r="AP99" i="2"/>
  <c r="AI48" i="2"/>
  <c r="AI32" i="2"/>
  <c r="AP59" i="2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H7" i="2" l="1"/>
  <c r="AI101" i="2"/>
  <c r="AR74" i="2"/>
  <c r="AI108" i="2"/>
  <c r="AH108" i="2" s="1"/>
  <c r="AH96" i="2"/>
  <c r="AP66" i="2"/>
  <c r="AR4" i="2"/>
  <c r="AP4" i="2"/>
  <c r="AI37" i="2"/>
  <c r="AH37" i="2" s="1"/>
  <c r="AH109" i="2"/>
  <c r="AH95" i="2"/>
  <c r="AH111" i="2"/>
  <c r="AP101" i="2"/>
  <c r="AR23" i="2"/>
  <c r="AR42" i="2"/>
  <c r="AR89" i="2"/>
  <c r="AR34" i="2"/>
  <c r="AH79" i="2"/>
  <c r="AR6" i="2"/>
  <c r="AI102" i="2"/>
  <c r="AH98" i="2"/>
  <c r="AI23" i="2"/>
  <c r="AI97" i="2"/>
  <c r="AR112" i="2"/>
  <c r="AP112" i="2"/>
  <c r="AR88" i="2"/>
  <c r="AR108" i="2"/>
  <c r="AP89" i="2"/>
  <c r="AI112" i="2"/>
  <c r="AP6" i="2"/>
  <c r="AP29" i="2"/>
  <c r="AP97" i="2"/>
  <c r="AR87" i="2"/>
  <c r="AI29" i="2"/>
  <c r="AI43" i="2"/>
  <c r="AP49" i="2"/>
  <c r="AI94" i="2"/>
  <c r="AR94" i="2"/>
  <c r="AR92" i="2"/>
  <c r="AR5" i="2"/>
  <c r="AH69" i="2"/>
  <c r="AP92" i="2"/>
  <c r="AH99" i="2"/>
  <c r="AP74" i="2"/>
  <c r="AI117" i="2"/>
  <c r="AR76" i="2"/>
  <c r="AI76" i="2"/>
  <c r="AP76" i="2"/>
  <c r="AP43" i="2"/>
  <c r="AP65" i="2"/>
  <c r="AH85" i="2"/>
  <c r="AP50" i="2"/>
  <c r="AR106" i="2"/>
  <c r="AP106" i="2"/>
  <c r="AI106" i="2"/>
  <c r="AI49" i="2"/>
  <c r="AH101" i="2"/>
  <c r="AI113" i="2"/>
  <c r="AH104" i="2"/>
  <c r="AH93" i="2"/>
  <c r="AP113" i="2"/>
  <c r="AI5" i="2"/>
  <c r="AI90" i="2"/>
  <c r="AP90" i="2"/>
  <c r="AR65" i="2"/>
  <c r="AI81" i="2"/>
  <c r="AP81" i="2"/>
  <c r="AR81" i="2"/>
  <c r="AI50" i="2"/>
  <c r="AH50" i="2" s="1"/>
  <c r="AI34" i="2"/>
  <c r="AH34" i="2" s="1"/>
  <c r="AH18" i="2"/>
  <c r="AH55" i="2"/>
  <c r="AR54" i="2"/>
  <c r="AR56" i="2"/>
  <c r="AR55" i="2"/>
  <c r="AH58" i="2"/>
  <c r="AP56" i="2"/>
  <c r="AH20" i="2"/>
  <c r="AP11" i="2"/>
  <c r="AI21" i="2"/>
  <c r="AP20" i="2"/>
  <c r="AR21" i="2"/>
  <c r="AH29" i="2"/>
  <c r="AH63" i="2"/>
  <c r="AP55" i="2"/>
  <c r="AP54" i="2"/>
  <c r="AR61" i="2"/>
  <c r="AI61" i="2"/>
  <c r="AP61" i="2"/>
  <c r="AH60" i="2"/>
  <c r="AR57" i="2"/>
  <c r="AI57" i="2"/>
  <c r="AP57" i="2"/>
  <c r="AH45" i="2"/>
  <c r="AH17" i="2"/>
  <c r="AH2" i="2"/>
  <c r="AH11" i="2"/>
  <c r="AH33" i="2"/>
  <c r="AR11" i="2"/>
  <c r="AR20" i="2"/>
  <c r="AI1" i="2"/>
  <c r="AR1" i="2"/>
  <c r="AP9" i="2"/>
  <c r="AR9" i="2"/>
  <c r="AI9" i="2"/>
  <c r="AR10" i="2"/>
  <c r="AP10" i="2"/>
  <c r="AI10" i="2"/>
  <c r="AH13" i="2"/>
  <c r="AH8" i="2"/>
  <c r="AH16" i="2"/>
  <c r="AH75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48" i="2"/>
  <c r="AH36" i="2"/>
  <c r="AH14" i="2"/>
  <c r="AH83" i="2"/>
  <c r="AH23" i="2"/>
  <c r="AH102" i="2"/>
  <c r="AH30" i="2"/>
  <c r="AH100" i="2"/>
  <c r="AH116" i="2"/>
  <c r="AH118" i="2"/>
  <c r="AH78" i="2"/>
  <c r="H106" i="2"/>
  <c r="H114" i="2"/>
  <c r="AH97" i="2" l="1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<sst xmlns="http://schemas.openxmlformats.org/spreadsheetml/2006/main" count="947" uniqueCount="506">
  <si>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</si>
  <si>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</si>
  <si>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</si>
  <si>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</si>
  <si>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</si>
  <si>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</si>
  <si>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</si>
  <si>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</si>
  <si>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</si>
  <si>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</si>
  <si>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</si>
  <si>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</si>
  <si>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</si>
  <si>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</si>
  <si>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</si>
  <si>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</si>
  <si>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</si>
  <si>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</si>
  <si>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</si>
  <si>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</si>
  <si>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</si>
  <si>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</si>
  <si>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</si>
  <si>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</si>
  <si>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</si>
  <si>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</si>
  <si>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</si>
  <si>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</si>
  <si>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</si>
  <si>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</si>
  <si>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</si>
  <si>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</si>
  <si>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</si>
  <si>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</si>
  <si>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</si>
  <si>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</si>
  <si>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</si>
  <si>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</si>
  <si>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</si>
  <si>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</si>
  <si>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</si>
  <si>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</si>
  <si>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</si>
  <si>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</si>
  <si>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</si>
  <si>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</si>
  <si>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</si>
  <si>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</si>
  <si>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</si>
  <si>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</si>
  <si>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</si>
  <si>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</si>
  <si>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</si>
  <si>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</si>
  <si>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</si>
  <si>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</si>
  <si>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</si>
  <si>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</si>
  <si>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</si>
  <si>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</si>
  <si>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</si>
  <si>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</si>
  <si>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</si>
  <si>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</si>
  <si>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</si>
  <si>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</si>
  <si>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</si>
  <si>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</si>
  <si>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</si>
  <si>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</si>
  <si>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</si>
  <si>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</si>
  <si>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</si>
  <si>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</si>
  <si>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</si>
  <si>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</si>
  <si>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</si>
  <si>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</si>
  <si>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</si>
  <si>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</si>
  <si>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</si>
  <si>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</si>
  <si>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</si>
  <si>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</si>
  <si>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</si>
  <si>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</si>
  <si>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</si>
  <si>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</si>
  <si>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</si>
  <si>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</si>
  <si>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</si>
  <si>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</si>
  <si>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</si>
  <si>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</si>
  <si>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</si>
  <si>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</si>
  <si>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</si>
  <si>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</si>
  <si>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</si>
  <si>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</si>
  <si>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</si>
  <si>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</si>
  <si>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</si>
  <si>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</si>
  <si>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</si>
  <si>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</si>
  <si>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</si>
  <si>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</si>
  <si>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</si>
  <si>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</si>
  <si>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</si>
  <si>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</si>
  <si>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</si>
  <si>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</si>
  <si>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</si>
  <si>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</si>
  <si>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</si>
  <si>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</si>
  <si>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</si>
  <si>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</si>
  <si>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</si>
  <si>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</si>
  <si>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</si>
  <si>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</si>
  <si>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</si>
  <si>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</si>
  <si>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</si>
  <si>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</si>
  <si>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</si>
  <si>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</si>
  <si>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</si>
  <si>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</si>
  <si>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</si>
  <si>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</si>
  <si>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</si>
  <si>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</si>
  <si>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</si>
  <si>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</si>
  <si>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</si>
  <si>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</si>
  <si>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</si>
  <si>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</si>
  <si>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</si>
  <si>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</si>
  <si>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</si>
  <si>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</si>
  <si>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</si>
  <si>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</si>
  <si>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</si>
  <si>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</si>
  <si>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</si>
  <si>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</si>
  <si>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</si>
  <si>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</si>
  <si>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</si>
  <si>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</si>
  <si>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</si>
  <si>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</si>
  <si>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</si>
  <si>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</si>
  <si>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</si>
  <si>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</si>
  <si>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</si>
  <si>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</si>
  <si>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</si>
  <si>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</si>
  <si>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</si>
  <si>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</si>
  <si>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</si>
  <si>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</si>
  <si>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</si>
  <si>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</si>
  <si>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</si>
  <si>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</si>
  <si>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</si>
  <si>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</si>
  <si>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</si>
  <si>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</si>
  <si>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</si>
  <si>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</si>
  <si>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</si>
  <si>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</si>
  <si>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</si>
  <si>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</si>
  <si>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</si>
  <si>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</si>
  <si>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</si>
  <si>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</si>
  <si>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</si>
  <si>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</si>
  <si>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</si>
  <si>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</si>
  <si>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</si>
  <si>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</si>
  <si>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</si>
  <si>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</si>
  <si>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</si>
  <si>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</si>
  <si>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</si>
  <si>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</si>
  <si>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</si>
  <si>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</si>
  <si>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</si>
  <si>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</si>
  <si>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</si>
  <si>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</si>
  <si>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</si>
  <si>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</si>
  <si>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</si>
  <si>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</si>
  <si>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</si>
  <si>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</si>
  <si>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</si>
  <si>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</si>
  <si>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</si>
  <si>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</si>
  <si>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</si>
  <si>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</si>
  <si>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</si>
  <si>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</si>
  <si>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</si>
  <si>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</si>
  <si>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</si>
  <si>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</si>
  <si>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</si>
  <si>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</si>
  <si>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</si>
  <si>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</si>
  <si>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</si>
  <si>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</si>
  <si>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</si>
  <si>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</si>
  <si>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</si>
  <si>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</si>
  <si>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</si>
  <si>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</si>
  <si>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</si>
  <si>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</si>
  <si>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</si>
  <si>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</si>
  <si>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</si>
  <si>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</si>
  <si>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</si>
  <si>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</si>
  <si>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</si>
  <si>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</si>
  <si>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</si>
  <si>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</si>
  <si>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</si>
  <si>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</si>
  <si>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</si>
  <si>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</si>
  <si>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</si>
  <si>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</si>
  <si>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</si>
  <si>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</si>
  <si>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</si>
  <si>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</si>
  <si>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</si>
  <si>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</si>
  <si>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</si>
  <si>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</si>
  <si>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</si>
  <si>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</si>
  <si>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</si>
  <si>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</si>
  <si>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</si>
  <si>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</si>
  <si>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</si>
  <si>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</si>
  <si>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</si>
  <si>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</si>
  <si>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</si>
  <si>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</si>
  <si>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</si>
  <si>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</si>
  <si>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</si>
  <si>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</si>
  <si>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</si>
  <si>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</si>
  <si>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</si>
  <si>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</si>
  <si>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</si>
  <si>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</si>
  <si>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</si>
  <si>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</si>
  <si>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</si>
  <si>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</si>
  <si>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</si>
  <si>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</si>
  <si>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</si>
  <si>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</si>
  <si>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</si>
  <si>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</si>
  <si>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</si>
  <si>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</si>
  <si>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</si>
  <si>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</si>
  <si>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</si>
  <si>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</si>
  <si>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</si>
  <si>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</si>
  <si>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</si>
  <si>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</si>
  <si>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</si>
  <si>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</si>
  <si>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</si>
  <si>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</si>
  <si>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</si>
  <si>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</si>
  <si>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</si>
  <si>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</si>
  <si>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</si>
  <si>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</si>
  <si>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</si>
  <si>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</si>
  <si>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</si>
  <si>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</si>
  <si>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</si>
  <si>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</si>
  <si>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</si>
  <si>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</si>
  <si>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</si>
  <si>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</si>
  <si>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</si>
  <si>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</si>
  <si>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</si>
  <si>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</si>
  <si>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</si>
  <si>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</si>
  <si>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</si>
  <si>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</si>
  <si>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</si>
  <si>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</si>
  <si>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</si>
  <si>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</si>
  <si>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</si>
  <si>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</si>
  <si>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</si>
  <si>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</si>
  <si>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</si>
  <si>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</si>
  <si>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</si>
  <si>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</si>
  <si>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</si>
  <si>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</si>
  <si>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</si>
  <si>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</si>
  <si>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</si>
  <si>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</si>
  <si>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</si>
  <si>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</si>
  <si>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</si>
  <si>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</si>
  <si>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</si>
  <si>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</si>
  <si>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</si>
  <si>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</si>
  <si>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</si>
  <si>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</si>
  <si>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</si>
  <si>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</si>
  <si>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</si>
  <si>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</si>
  <si>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</si>
  <si>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</si>
  <si>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</si>
  <si>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</si>
  <si>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</si>
  <si>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</si>
  <si>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</si>
  <si>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</si>
  <si>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</si>
  <si>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</si>
  <si>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</si>
  <si>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</si>
  <si>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</si>
  <si>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</si>
  <si>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</si>
  <si>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</si>
  <si>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</si>
  <si>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</si>
  <si>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</si>
  <si>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</si>
  <si>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</si>
  <si>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</si>
  <si>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</si>
  <si>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</si>
  <si>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</si>
  <si>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</si>
  <si>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</si>
  <si>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</si>
  <si>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</si>
  <si>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</si>
  <si>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</si>
  <si>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</si>
  <si>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</si>
  <si>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</si>
  <si>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</si>
  <si>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</si>
  <si>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</si>
  <si>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</si>
  <si>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</si>
  <si>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</si>
  <si>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</si>
  <si>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</si>
  <si>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</si>
  <si>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</si>
  <si>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</si>
  <si>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</si>
  <si>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</si>
  <si>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</si>
  <si>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</si>
  <si>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</si>
  <si>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</si>
  <si>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</si>
  <si>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</si>
  <si>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</si>
  <si>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</si>
  <si>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</si>
  <si>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</si>
  <si>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</si>
  <si>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</si>
  <si>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</si>
  <si>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</si>
  <si>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</si>
  <si>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</si>
  <si>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</si>
  <si>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</si>
  <si>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</si>
  <si>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</si>
  <si>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</si>
  <si>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</si>
  <si>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</si>
  <si>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</si>
  <si>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</si>
  <si>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</si>
  <si>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</si>
  <si>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</si>
  <si>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</si>
  <si>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</si>
  <si>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</si>
  <si>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</si>
  <si>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</si>
  <si>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</si>
  <si>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</si>
  <si>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</si>
  <si>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</si>
  <si>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</si>
  <si>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</si>
  <si>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</si>
  <si>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</si>
  <si>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</si>
  <si>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</si>
  <si>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</si>
  <si>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</si>
  <si>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</si>
  <si>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</si>
  <si>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</si>
  <si>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</si>
  <si>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</si>
  <si>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</si>
  <si>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</si>
  <si>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</si>
  <si>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</si>
  <si>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</si>
  <si>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</si>
  <si>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</si>
  <si>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</si>
  <si>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</si>
  <si>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</si>
  <si>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</si>
  <si>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</si>
  <si>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</si>
  <si>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</si>
  <si>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</si>
  <si>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</si>
  <si>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</si>
  <si>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</si>
  <si>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</si>
  <si>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</si>
  <si>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</si>
  <si>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</si>
  <si>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</si>
  <si>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</si>
  <si>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</si>
  <si>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</si>
  <si>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</si>
  <si>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</si>
  <si>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</si>
  <si>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</si>
  <si>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</si>
  <si>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</si>
  <si>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</si>
  <si>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</si>
  <si>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</si>
  <si>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</si>
  <si>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</si>
  <si>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</si>
  <si>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</si>
  <si>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</si>
  <si>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</si>
  <si>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</si>
  <si>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</si>
  <si>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</si>
  <si>
    <t>Bohr's Constant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</si>
</sst>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70" formatCode="0.0000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8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170" fontId="0" fillId="0" borderId="0" xfId="0" applyNumberFormat="1"/>
    <xf numFmtId="170" fontId="2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C82" zoomScale="70" zoomScaleNormal="70" workbookViewId="0">
      <selection activeCell="AQ1" sqref="AQ1:AQ118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style="26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33.33203125" customWidth="1"/>
    <col min="42" max="42" width="18.33203125" customWidth="1"/>
    <col min="43" max="43" width="23.109375" customWidth="1"/>
    <col min="44" max="44" width="15.6640625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 s="26">
        <f>(A1 * 1.007276) + (F1 * 1.008665) + (L1 * 0.00054858)</f>
        <v>1.0078245800000001</v>
      </c>
      <c r="H1">
        <f>(G1-(A1*'Atomic Particles'!C1))/'Atomic Particles'!C2+A1</f>
        <v>1.0005426638964758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2.696074065916291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8.854187817E-12 * (I1 * 0.0000000001)^3</f>
        <v>1.6487772717867382E-41</v>
      </c>
      <c r="AP1" s="16">
        <f>AO1 * 10^12</f>
        <v>1.648777271786738E-29</v>
      </c>
      <c r="AQ1" s="16">
        <f>(1 / (2 * 3.14159265358979)) * SQRT((A1 * (1.602176634E-19^2)) / ((AI1 * 1E-30) * 9.1093837015E-31 * 8.8541878128E-12))</f>
        <v>1.1396346859659042E+16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>
        <f>(G2-(A2*'Atomic Particles'!C1))/'Atomic Particles'!C2+A2</f>
        <v>4.0010835051523017</v>
      </c>
      <c r="I2" s="16">
        <f t="shared" ref="I2:I65" si="1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2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3">(G2 * 1.6605E-24) / (AI2 * 1E-24)</f>
        <v>0.8290410258105313</v>
      </c>
      <c r="AI2" s="16">
        <f t="shared" ref="AI2:AI65" si="4">(4/3) * PI() * (I2^3)</f>
        <v>8.0777207480567732</v>
      </c>
      <c r="AM2" s="15">
        <f t="shared" ref="AM2:AM65" si="5">A2 - L2</f>
        <v>0</v>
      </c>
      <c r="AN2">
        <f t="shared" ref="AN2:AN65" si="6">A2-AG2</f>
        <v>1.7</v>
      </c>
      <c r="AO2" s="16">
        <f t="shared" ref="AO2:AO65" si="7">4 * PI() * 8.854187817E-12 * (I2 * 0.0000000001)^3</f>
        <v>2.145649699097173E-40</v>
      </c>
      <c r="AP2" s="16">
        <f t="shared" ref="AP2:AP65" si="8">AO2 * 10^12</f>
        <v>2.1456496990971731E-28</v>
      </c>
      <c r="AQ2" s="16">
        <f>(1 / (2 * 3.14159265358979)) * SQRT((A2 * (1.602176634E-19^2)) / ((AI2 * 1E-30) * 9.1093837015E-31 * 8.8541878128E-12))</f>
        <v>4467681891259671.5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 s="26">
        <f t="shared" si="0"/>
        <v>7.0581337399999997</v>
      </c>
      <c r="H3">
        <f>(G3-(A3*'Atomic Particles'!C1))/'Atomic Particles'!C2+A3</f>
        <v>7.0016243464081294</v>
      </c>
      <c r="I3" s="16">
        <f t="shared" si="1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2"/>
        <v>1.7</v>
      </c>
      <c r="AH3" s="16">
        <f t="shared" si="3"/>
        <v>0.64881849425112126</v>
      </c>
      <c r="AI3" s="16">
        <f t="shared" si="4"/>
        <v>18.063651358763263</v>
      </c>
      <c r="AM3" s="15">
        <f t="shared" si="5"/>
        <v>0</v>
      </c>
      <c r="AN3">
        <f t="shared" si="6"/>
        <v>1.3</v>
      </c>
      <c r="AO3" s="16">
        <f t="shared" si="7"/>
        <v>4.7981688537389155E-40</v>
      </c>
      <c r="AP3" s="16">
        <f t="shared" si="8"/>
        <v>4.7981688537389153E-28</v>
      </c>
      <c r="AQ3" s="16">
        <f t="shared" ref="AQ3:AQ28" si="11">(1 / (2 * 3.14159265358979)) * SQRT((A3 * (1.602176634E-19^2)) / ((AI3 * 1E-30) * 9.1093837015E-31 * 8.8541878128E-12))</f>
        <v>3659059897132844.5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 s="26">
        <f t="shared" si="0"/>
        <v>9.0746233199999988</v>
      </c>
      <c r="H4">
        <f>(G4-(A4*'Atomic Particles'!C1))/'Atomic Particles'!C2+A4</f>
        <v>9.0021660989842793</v>
      </c>
      <c r="I4" s="16">
        <f t="shared" si="1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2"/>
        <v>2.0499999999999998</v>
      </c>
      <c r="AH4" s="16">
        <f t="shared" si="3"/>
        <v>2.8153715750542672</v>
      </c>
      <c r="AI4" s="16">
        <f t="shared" si="4"/>
        <v>5.3521929951891174</v>
      </c>
      <c r="AM4" s="15">
        <f t="shared" si="5"/>
        <v>0</v>
      </c>
      <c r="AN4">
        <f t="shared" si="6"/>
        <v>1.9500000000000002</v>
      </c>
      <c r="AO4" s="16">
        <f t="shared" si="7"/>
        <v>1.4216796603670868E-40</v>
      </c>
      <c r="AP4" s="16">
        <f t="shared" si="8"/>
        <v>1.4216796603670869E-28</v>
      </c>
      <c r="AQ4" s="16">
        <f t="shared" si="11"/>
        <v>7762038198091154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 s="26">
        <f t="shared" si="0"/>
        <v>10.0824479</v>
      </c>
      <c r="H5">
        <f>(G5-(A5*'Atomic Particles'!C1))/'Atomic Particles'!C2+A5</f>
        <v>10.002708762880758</v>
      </c>
      <c r="I5" s="16">
        <f t="shared" si="1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2"/>
        <v>2.4</v>
      </c>
      <c r="AH5" s="16">
        <f t="shared" si="3"/>
        <v>7.4146270454131473</v>
      </c>
      <c r="AI5" s="16">
        <f t="shared" si="4"/>
        <v>2.2579564198454078</v>
      </c>
      <c r="AM5" s="15">
        <f t="shared" si="5"/>
        <v>0</v>
      </c>
      <c r="AN5">
        <f t="shared" si="6"/>
        <v>2.6</v>
      </c>
      <c r="AO5" s="16">
        <f t="shared" si="7"/>
        <v>5.9977110671736444E-41</v>
      </c>
      <c r="AP5" s="16">
        <f t="shared" si="8"/>
        <v>5.9977110671736442E-29</v>
      </c>
      <c r="AQ5" s="16">
        <f t="shared" si="11"/>
        <v>1.336099763281461E+16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 s="26">
        <f t="shared" si="0"/>
        <v>12.09893748</v>
      </c>
      <c r="H6">
        <f>(G6-(A6*'Atomic Particles'!C1))/'Atomic Particles'!C2+A6</f>
        <v>12.003250515456909</v>
      </c>
      <c r="I6" s="16">
        <f t="shared" si="1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2"/>
        <v>2.75</v>
      </c>
      <c r="AH6" s="16">
        <f t="shared" si="3"/>
        <v>17.378032137687054</v>
      </c>
      <c r="AI6" s="16">
        <f t="shared" si="4"/>
        <v>1.1560736869608494</v>
      </c>
      <c r="AM6" s="15">
        <f t="shared" si="5"/>
        <v>0</v>
      </c>
      <c r="AN6">
        <f t="shared" si="6"/>
        <v>3.25</v>
      </c>
      <c r="AO6" s="16">
        <f t="shared" si="7"/>
        <v>3.0708280663929077E-41</v>
      </c>
      <c r="AP6" s="16">
        <f t="shared" si="8"/>
        <v>3.0708280663929076E-29</v>
      </c>
      <c r="AQ6" s="16">
        <f t="shared" si="11"/>
        <v>2.0454766659331064E+16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 s="26">
        <f t="shared" si="0"/>
        <v>14.11542706</v>
      </c>
      <c r="H7">
        <f>(G7-(A7*'Atomic Particles'!C1))/'Atomic Particles'!C2+A7</f>
        <v>14.00379226803306</v>
      </c>
      <c r="I7" s="16">
        <f t="shared" si="1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2"/>
        <v>3.0999999999999996</v>
      </c>
      <c r="AH7" s="16">
        <f t="shared" si="3"/>
        <v>35.034112789577101</v>
      </c>
      <c r="AI7" s="16">
        <f t="shared" si="4"/>
        <v>0.66902412439863967</v>
      </c>
      <c r="AM7" s="15">
        <f t="shared" si="5"/>
        <v>0</v>
      </c>
      <c r="AN7">
        <f t="shared" si="6"/>
        <v>3.9000000000000004</v>
      </c>
      <c r="AO7" s="16">
        <f t="shared" si="7"/>
        <v>1.7770995754588585E-41</v>
      </c>
      <c r="AP7" s="16">
        <f t="shared" si="8"/>
        <v>1.7770995754588586E-29</v>
      </c>
      <c r="AQ7" s="16">
        <f t="shared" si="11"/>
        <v>2.9042887560309264E+16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 s="26">
        <f t="shared" si="0"/>
        <v>16.131916639999996</v>
      </c>
      <c r="H8">
        <f>(G8-(A8*'Atomic Particles'!C1))/'Atomic Particles'!C2+A8</f>
        <v>16.004334020609207</v>
      </c>
      <c r="I8" s="16">
        <f t="shared" si="1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2"/>
        <v>3.45</v>
      </c>
      <c r="AH8" s="16">
        <f t="shared" si="3"/>
        <v>63.580426914417686</v>
      </c>
      <c r="AI8" s="16">
        <f t="shared" si="4"/>
        <v>0.42130965268252524</v>
      </c>
      <c r="AM8" s="15">
        <f t="shared" si="5"/>
        <v>0</v>
      </c>
      <c r="AN8">
        <f t="shared" si="6"/>
        <v>4.55</v>
      </c>
      <c r="AO8" s="16">
        <f t="shared" si="7"/>
        <v>1.1191064381898351E-41</v>
      </c>
      <c r="AP8" s="16">
        <f t="shared" si="8"/>
        <v>1.1191064381898351E-29</v>
      </c>
      <c r="AQ8" s="16">
        <f t="shared" si="11"/>
        <v>3.9125144218973368E+16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 s="26">
        <f t="shared" si="0"/>
        <v>19.157071219999999</v>
      </c>
      <c r="H9">
        <f>(G9-(A9*'Atomic Particles'!C1))/'Atomic Particles'!C2+A9</f>
        <v>19.004874861865037</v>
      </c>
      <c r="I9" s="16">
        <f t="shared" si="1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2"/>
        <v>3.8</v>
      </c>
      <c r="AH9" s="16">
        <f t="shared" si="3"/>
        <v>112.70480326803796</v>
      </c>
      <c r="AI9" s="16">
        <f t="shared" si="4"/>
        <v>0.28224455248067598</v>
      </c>
      <c r="AM9" s="15">
        <f t="shared" si="5"/>
        <v>0</v>
      </c>
      <c r="AN9">
        <f t="shared" si="6"/>
        <v>5.2</v>
      </c>
      <c r="AO9" s="16">
        <f t="shared" si="7"/>
        <v>7.4971388339670554E-42</v>
      </c>
      <c r="AP9" s="16">
        <f t="shared" si="8"/>
        <v>7.4971388339670552E-30</v>
      </c>
      <c r="AQ9" s="16">
        <f t="shared" si="11"/>
        <v>5.0701421198174688E+16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 s="26">
        <f t="shared" si="0"/>
        <v>20.1648958</v>
      </c>
      <c r="H10">
        <f>(G10-(A10*'Atomic Particles'!C1))/'Atomic Particles'!C2+A10</f>
        <v>20.005417525761516</v>
      </c>
      <c r="I10" s="16">
        <f t="shared" si="1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2"/>
        <v>4.1499999999999995</v>
      </c>
      <c r="AH10" s="16">
        <f t="shared" si="3"/>
        <v>168.91447237831824</v>
      </c>
      <c r="AI10" s="16">
        <f t="shared" si="4"/>
        <v>0.19822937019218947</v>
      </c>
      <c r="AM10" s="15">
        <f t="shared" si="5"/>
        <v>0</v>
      </c>
      <c r="AN10">
        <f t="shared" si="6"/>
        <v>5.8500000000000005</v>
      </c>
      <c r="AO10" s="16">
        <f t="shared" si="7"/>
        <v>5.2654802235818031E-42</v>
      </c>
      <c r="AP10" s="16">
        <f t="shared" si="8"/>
        <v>5.2654802235818029E-30</v>
      </c>
      <c r="AQ10" s="16">
        <f t="shared" si="11"/>
        <v>6.3771651199669192E+16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 s="26">
        <f t="shared" si="0"/>
        <v>23.190050379999999</v>
      </c>
      <c r="H11">
        <f>(G11-(A11*'Atomic Particles'!C1))/'Atomic Particles'!C2+A11</f>
        <v>23.005958367017342</v>
      </c>
      <c r="I11" s="16">
        <f t="shared" si="1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2"/>
        <v>8.8000000000000007</v>
      </c>
      <c r="AH11" s="16">
        <f t="shared" si="3"/>
        <v>10.331729213790503</v>
      </c>
      <c r="AI11" s="16">
        <f t="shared" si="4"/>
        <v>3.7270700634112468</v>
      </c>
      <c r="AM11" s="15">
        <f t="shared" si="5"/>
        <v>0</v>
      </c>
      <c r="AN11">
        <f t="shared" si="6"/>
        <v>2.1999999999999993</v>
      </c>
      <c r="AO11" s="16">
        <f t="shared" si="7"/>
        <v>9.900053504568387E-41</v>
      </c>
      <c r="AP11" s="16">
        <f t="shared" si="8"/>
        <v>9.900053504568387E-29</v>
      </c>
      <c r="AQ11" s="16">
        <f t="shared" si="11"/>
        <v>1.5424966401785952E+16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 s="26">
        <f t="shared" si="0"/>
        <v>24.19787496</v>
      </c>
      <c r="H12">
        <f>(G12-(A12*'Atomic Particles'!C1))/'Atomic Particles'!C2+A12</f>
        <v>24.006501030913817</v>
      </c>
      <c r="I12" s="16">
        <f t="shared" si="1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2"/>
        <v>9.1499999999999986</v>
      </c>
      <c r="AH12" s="16">
        <f t="shared" si="3"/>
        <v>23.43770527573734</v>
      </c>
      <c r="AI12" s="16">
        <f t="shared" si="4"/>
        <v>1.7143560300962928</v>
      </c>
      <c r="AM12" s="15">
        <f t="shared" si="5"/>
        <v>0</v>
      </c>
      <c r="AN12">
        <f t="shared" si="6"/>
        <v>2.8500000000000014</v>
      </c>
      <c r="AO12" s="16">
        <f t="shared" si="7"/>
        <v>4.5537690827037261E-41</v>
      </c>
      <c r="AP12" s="16">
        <f t="shared" si="8"/>
        <v>4.5537690827037263E-29</v>
      </c>
      <c r="AQ12" s="16">
        <f t="shared" si="11"/>
        <v>2.375482175153944E+16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 s="26">
        <f t="shared" si="0"/>
        <v>27.223029540000002</v>
      </c>
      <c r="H13">
        <f>(G13-(A13*'Atomic Particles'!C1))/'Atomic Particles'!C2+A13</f>
        <v>27.007041872169644</v>
      </c>
      <c r="I13" s="16">
        <f t="shared" si="1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2"/>
        <v>8.8000000000000007</v>
      </c>
      <c r="AH13" s="16">
        <f t="shared" si="3"/>
        <v>84.389343075657351</v>
      </c>
      <c r="AI13" s="16">
        <f t="shared" si="4"/>
        <v>0.53565816374045638</v>
      </c>
      <c r="AM13" s="15">
        <f t="shared" si="5"/>
        <v>0</v>
      </c>
      <c r="AN13">
        <f t="shared" si="6"/>
        <v>4.1999999999999993</v>
      </c>
      <c r="AO13" s="16">
        <f t="shared" si="7"/>
        <v>1.4228453962402025E-41</v>
      </c>
      <c r="AP13" s="16">
        <f t="shared" si="8"/>
        <v>1.4228453962402026E-29</v>
      </c>
      <c r="AQ13" s="16">
        <f t="shared" si="11"/>
        <v>4.4232295130440512E+16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 s="26">
        <f t="shared" si="0"/>
        <v>28.23085412</v>
      </c>
      <c r="H14">
        <f>(G14-(A14*'Atomic Particles'!C1))/'Atomic Particles'!C2+A14</f>
        <v>28.007584536066119</v>
      </c>
      <c r="I14" s="16">
        <f t="shared" si="1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2"/>
        <v>9.85</v>
      </c>
      <c r="AH14" s="16">
        <f t="shared" si="3"/>
        <v>84.425100935677975</v>
      </c>
      <c r="AI14" s="16">
        <f t="shared" si="4"/>
        <v>0.55525350573137056</v>
      </c>
      <c r="AM14" s="15">
        <f t="shared" si="5"/>
        <v>0</v>
      </c>
      <c r="AN14">
        <f t="shared" si="6"/>
        <v>4.1500000000000004</v>
      </c>
      <c r="AO14" s="16">
        <f t="shared" si="7"/>
        <v>1.4748956477379727E-41</v>
      </c>
      <c r="AP14" s="16">
        <f t="shared" si="8"/>
        <v>1.4748956477379726E-29</v>
      </c>
      <c r="AQ14" s="16">
        <f t="shared" si="11"/>
        <v>4.5084787374994576E+16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 s="26">
        <f t="shared" si="0"/>
        <v>31.256008699999999</v>
      </c>
      <c r="H15">
        <f>(G15-(A15*'Atomic Particles'!C1))/'Atomic Particles'!C2+A15</f>
        <v>31.008125377321946</v>
      </c>
      <c r="I15" s="16">
        <f t="shared" si="1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2"/>
        <v>10.199999999999999</v>
      </c>
      <c r="AH15" s="16">
        <f t="shared" si="3"/>
        <v>144.63070786441472</v>
      </c>
      <c r="AI15" s="16">
        <f t="shared" si="4"/>
        <v>0.35884912141206321</v>
      </c>
      <c r="AM15" s="15">
        <f t="shared" si="5"/>
        <v>0</v>
      </c>
      <c r="AN15">
        <f t="shared" si="6"/>
        <v>4.8000000000000007</v>
      </c>
      <c r="AO15" s="16">
        <f t="shared" si="7"/>
        <v>9.531952556843534E-42</v>
      </c>
      <c r="AP15" s="16">
        <f t="shared" si="8"/>
        <v>9.5319525568435334E-30</v>
      </c>
      <c r="AQ15" s="16">
        <f t="shared" si="11"/>
        <v>5.804988296871936E+16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 s="26">
        <f t="shared" si="0"/>
        <v>32.263833279999993</v>
      </c>
      <c r="H16">
        <f>(G16-(A16*'Atomic Particles'!C1))/'Atomic Particles'!C2+A16</f>
        <v>32.008668041218414</v>
      </c>
      <c r="I16" s="16">
        <f t="shared" si="1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2"/>
        <v>10.55</v>
      </c>
      <c r="AH16" s="16">
        <f t="shared" si="3"/>
        <v>218.52883586696251</v>
      </c>
      <c r="AI16" s="16">
        <f t="shared" si="4"/>
        <v>0.24515801289517325</v>
      </c>
      <c r="AM16" s="15">
        <f t="shared" si="5"/>
        <v>0</v>
      </c>
      <c r="AN16">
        <f t="shared" si="6"/>
        <v>5.4499999999999993</v>
      </c>
      <c r="AO16" s="16">
        <f t="shared" si="7"/>
        <v>6.5120252730491157E-42</v>
      </c>
      <c r="AP16" s="16">
        <f t="shared" si="8"/>
        <v>6.5120252730491152E-30</v>
      </c>
      <c r="AQ16" s="16">
        <f t="shared" si="11"/>
        <v>7.2535165729536704E+16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 s="26">
        <f t="shared" si="0"/>
        <v>37.30631786</v>
      </c>
      <c r="H17">
        <f>(G17-(A17*'Atomic Particles'!C1))/'Atomic Particles'!C2+A17</f>
        <v>37.009207059833599</v>
      </c>
      <c r="I17" s="16">
        <f t="shared" si="1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2"/>
        <v>10.899999999999999</v>
      </c>
      <c r="AH17" s="16">
        <f t="shared" si="3"/>
        <v>354.30327911234673</v>
      </c>
      <c r="AI17" s="16">
        <f t="shared" si="4"/>
        <v>0.1748421323159334</v>
      </c>
      <c r="AM17" s="15">
        <f t="shared" si="5"/>
        <v>0</v>
      </c>
      <c r="AN17">
        <f t="shared" si="6"/>
        <v>6.1000000000000014</v>
      </c>
      <c r="AO17" s="16">
        <f t="shared" si="7"/>
        <v>4.6442552335501205E-42</v>
      </c>
      <c r="AP17" s="16">
        <f t="shared" si="8"/>
        <v>4.6442552335501203E-30</v>
      </c>
      <c r="AQ17" s="16">
        <f t="shared" si="11"/>
        <v>8.8534609509814592E+16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 s="26">
        <f t="shared" si="0"/>
        <v>38.314142439999998</v>
      </c>
      <c r="H18">
        <f>(G18-(A18*'Atomic Particles'!C1))/'Atomic Particles'!C2+A18</f>
        <v>38.009749723730074</v>
      </c>
      <c r="I18" s="16">
        <f t="shared" si="1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2"/>
        <v>11.25</v>
      </c>
      <c r="AH18" s="16">
        <f t="shared" si="3"/>
        <v>493.03041139301962</v>
      </c>
      <c r="AI18" s="16">
        <f t="shared" si="4"/>
        <v>0.12903997816658974</v>
      </c>
      <c r="AM18" s="15">
        <f t="shared" si="5"/>
        <v>0</v>
      </c>
      <c r="AN18">
        <f t="shared" si="6"/>
        <v>6.75</v>
      </c>
      <c r="AO18" s="16">
        <f t="shared" si="7"/>
        <v>3.4276326077656953E-42</v>
      </c>
      <c r="AP18" s="16">
        <f t="shared" si="8"/>
        <v>3.4276326077656953E-30</v>
      </c>
      <c r="AQ18" s="16">
        <f t="shared" si="11"/>
        <v>1.0604392032155187E+17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 s="26">
        <f t="shared" si="0"/>
        <v>39.321967019999995</v>
      </c>
      <c r="H19">
        <f>(G19-(A19*'Atomic Particles'!C1))/'Atomic Particles'!C2+A19</f>
        <v>39.010292387626549</v>
      </c>
      <c r="I19" s="16">
        <f t="shared" si="1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2"/>
        <v>16.8</v>
      </c>
      <c r="AH19" s="16">
        <f t="shared" si="3"/>
        <v>17.518888866003433</v>
      </c>
      <c r="AI19" s="16">
        <f t="shared" si="4"/>
        <v>3.7270700634112468</v>
      </c>
      <c r="AM19" s="15">
        <f t="shared" si="5"/>
        <v>0</v>
      </c>
      <c r="AN19">
        <f t="shared" si="6"/>
        <v>2.1999999999999993</v>
      </c>
      <c r="AO19" s="16">
        <f t="shared" si="7"/>
        <v>9.900053504568387E-41</v>
      </c>
      <c r="AP19" s="16">
        <f t="shared" si="8"/>
        <v>9.900053504568387E-29</v>
      </c>
      <c r="AQ19" s="16">
        <f t="shared" si="11"/>
        <v>2.0272377493050812E+16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 s="26">
        <f t="shared" si="0"/>
        <v>42.347121600000001</v>
      </c>
      <c r="H20">
        <f>(G20-(A20*'Atomic Particles'!C1))/'Atomic Particles'!C2+A20</f>
        <v>42.010833228882376</v>
      </c>
      <c r="I20" s="16">
        <f t="shared" si="1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2"/>
        <v>17.149999999999999</v>
      </c>
      <c r="AH20" s="16">
        <f t="shared" si="3"/>
        <v>41.0167982509738</v>
      </c>
      <c r="AI20" s="16">
        <f t="shared" si="4"/>
        <v>1.7143560300962928</v>
      </c>
      <c r="AM20" s="15">
        <f t="shared" si="5"/>
        <v>0</v>
      </c>
      <c r="AN20">
        <f t="shared" si="6"/>
        <v>2.8500000000000014</v>
      </c>
      <c r="AO20" s="16">
        <f t="shared" si="7"/>
        <v>4.5537690827037261E-41</v>
      </c>
      <c r="AP20" s="16">
        <f t="shared" si="8"/>
        <v>4.5537690827037263E-29</v>
      </c>
      <c r="AQ20" s="16">
        <f t="shared" si="11"/>
        <v>3.0667343011945984E+16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 s="26">
        <f t="shared" si="0"/>
        <v>45.37227618</v>
      </c>
      <c r="H21">
        <f>(G21-(A21*'Atomic Particles'!C1))/'Atomic Particles'!C2+A21</f>
        <v>45.011374070138203</v>
      </c>
      <c r="I21" s="16">
        <f t="shared" si="1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2"/>
        <v>17.149999999999999</v>
      </c>
      <c r="AH21" s="16">
        <f t="shared" si="3"/>
        <v>108.33680812385769</v>
      </c>
      <c r="AI21" s="16">
        <f t="shared" si="4"/>
        <v>0.69542998267731559</v>
      </c>
      <c r="AM21" s="15">
        <f t="shared" si="5"/>
        <v>0</v>
      </c>
      <c r="AN21">
        <f t="shared" si="6"/>
        <v>3.8500000000000014</v>
      </c>
      <c r="AO21" s="16">
        <f t="shared" si="7"/>
        <v>1.8472403040594034E-41</v>
      </c>
      <c r="AP21" s="16">
        <f t="shared" si="8"/>
        <v>1.8472403040594033E-29</v>
      </c>
      <c r="AQ21" s="16">
        <f t="shared" si="11"/>
        <v>4.9339484147436192E+16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 s="26">
        <f t="shared" si="0"/>
        <v>49.406095759999992</v>
      </c>
      <c r="H22">
        <f>(G22-(A22*'Atomic Particles'!C1))/'Atomic Particles'!C2+A22</f>
        <v>49.011914000073702</v>
      </c>
      <c r="I22" s="16">
        <f t="shared" si="1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2"/>
        <v>18.850000000000001</v>
      </c>
      <c r="AH22" s="16">
        <f t="shared" si="3"/>
        <v>64.612341187091587</v>
      </c>
      <c r="AI22" s="16">
        <f t="shared" si="4"/>
        <v>1.2697082399773794</v>
      </c>
      <c r="AM22" s="15">
        <f t="shared" si="5"/>
        <v>0</v>
      </c>
      <c r="AN22">
        <f t="shared" si="6"/>
        <v>3.1499999999999986</v>
      </c>
      <c r="AO22" s="16">
        <f t="shared" si="7"/>
        <v>3.3726705688656676E-41</v>
      </c>
      <c r="AP22" s="16">
        <f t="shared" si="8"/>
        <v>3.3726705688656673E-29</v>
      </c>
      <c r="AQ22" s="16">
        <f t="shared" si="11"/>
        <v>3.7374125020449984E+16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 s="26">
        <f t="shared" si="0"/>
        <v>51.422585339999998</v>
      </c>
      <c r="H23">
        <f>(G23-(A23*'Atomic Particles'!C1))/'Atomic Particles'!C2+A23</f>
        <v>51.012455752649856</v>
      </c>
      <c r="I23" s="16">
        <f t="shared" si="1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2"/>
        <v>19.7</v>
      </c>
      <c r="AH23" s="16">
        <f t="shared" si="3"/>
        <v>77.321275177840334</v>
      </c>
      <c r="AI23" s="16">
        <f t="shared" si="4"/>
        <v>1.1043170558255526</v>
      </c>
      <c r="AM23" s="15">
        <f t="shared" si="5"/>
        <v>0</v>
      </c>
      <c r="AN23">
        <f t="shared" si="6"/>
        <v>3.3000000000000007</v>
      </c>
      <c r="AO23" s="16">
        <f t="shared" si="7"/>
        <v>2.9333491865387752E-41</v>
      </c>
      <c r="AP23" s="16">
        <f t="shared" si="8"/>
        <v>2.9333491865387752E-29</v>
      </c>
      <c r="AQ23" s="16">
        <f t="shared" si="11"/>
        <v>4.0975917879806968E+16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 s="26">
        <f t="shared" si="0"/>
        <v>52.430409919999995</v>
      </c>
      <c r="H24">
        <f>(G24-(A24*'Atomic Particles'!C1))/'Atomic Particles'!C2+A24</f>
        <v>52.012998416546331</v>
      </c>
      <c r="I24" s="16">
        <f t="shared" si="1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2"/>
        <v>21.049999999999997</v>
      </c>
      <c r="AH24" s="16">
        <f t="shared" si="3"/>
        <v>56.318694840189949</v>
      </c>
      <c r="AI24" s="16">
        <f t="shared" si="4"/>
        <v>1.5458578349374685</v>
      </c>
      <c r="AM24" s="15">
        <f t="shared" si="5"/>
        <v>0</v>
      </c>
      <c r="AN24">
        <f t="shared" si="6"/>
        <v>2.9500000000000028</v>
      </c>
      <c r="AO24" s="16">
        <f t="shared" si="7"/>
        <v>4.1061946826751998E-41</v>
      </c>
      <c r="AP24" s="16">
        <f t="shared" si="8"/>
        <v>4.1061946826751998E-29</v>
      </c>
      <c r="AQ24" s="16">
        <f t="shared" si="11"/>
        <v>3.5377937287509704E+16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 s="26">
        <f t="shared" si="0"/>
        <v>55.455564500000001</v>
      </c>
      <c r="H25">
        <f>(G25-(A25*'Atomic Particles'!C1))/'Atomic Particles'!C2+A25</f>
        <v>55.013539257802165</v>
      </c>
      <c r="I25" s="16">
        <f t="shared" si="1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2"/>
        <v>21.4</v>
      </c>
      <c r="AH25" s="16">
        <f t="shared" si="3"/>
        <v>108.25698142767439</v>
      </c>
      <c r="AI25" s="16">
        <f t="shared" si="4"/>
        <v>0.85060532482859375</v>
      </c>
      <c r="AM25" s="15">
        <f t="shared" si="5"/>
        <v>0</v>
      </c>
      <c r="AN25">
        <f t="shared" si="6"/>
        <v>3.6000000000000014</v>
      </c>
      <c r="AO25" s="16">
        <f t="shared" si="7"/>
        <v>2.2594257912517986E-41</v>
      </c>
      <c r="AP25" s="16">
        <f t="shared" si="8"/>
        <v>2.2594257912517985E-29</v>
      </c>
      <c r="AQ25" s="16">
        <f t="shared" si="11"/>
        <v>4.8676306651486448E+16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 s="26">
        <f t="shared" si="0"/>
        <v>56.463389079999999</v>
      </c>
      <c r="H26">
        <f>(G26-(A26*'Atomic Particles'!C1))/'Atomic Particles'!C2+A26</f>
        <v>56.014081921698633</v>
      </c>
      <c r="I26" s="16">
        <f t="shared" si="1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2"/>
        <v>22.25</v>
      </c>
      <c r="AH26" s="16">
        <f t="shared" si="3"/>
        <v>124.58450351178033</v>
      </c>
      <c r="AI26" s="16">
        <f t="shared" si="4"/>
        <v>0.75256115266755153</v>
      </c>
      <c r="AM26" s="15">
        <f t="shared" si="5"/>
        <v>0</v>
      </c>
      <c r="AN26">
        <f t="shared" si="6"/>
        <v>3.75</v>
      </c>
      <c r="AO26" s="16">
        <f t="shared" si="7"/>
        <v>1.9989953368489542E-41</v>
      </c>
      <c r="AP26" s="16">
        <f t="shared" si="8"/>
        <v>1.9989953368489541E-29</v>
      </c>
      <c r="AQ26" s="16">
        <f t="shared" si="11"/>
        <v>5.2774902362492936E+16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 s="26">
        <f t="shared" si="0"/>
        <v>59.488543659999998</v>
      </c>
      <c r="H27">
        <f>(G27-(A27*'Atomic Particles'!C1))/'Atomic Particles'!C2+A27</f>
        <v>59.014622762954467</v>
      </c>
      <c r="I27" s="16">
        <f t="shared" si="1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2"/>
        <v>23.1</v>
      </c>
      <c r="AH27" s="16">
        <f t="shared" si="3"/>
        <v>147.64897579174757</v>
      </c>
      <c r="AI27" s="16">
        <f t="shared" si="4"/>
        <v>0.66902412439864067</v>
      </c>
      <c r="AM27" s="15">
        <f t="shared" si="5"/>
        <v>0</v>
      </c>
      <c r="AN27">
        <f t="shared" si="6"/>
        <v>3.8999999999999986</v>
      </c>
      <c r="AO27" s="16">
        <f t="shared" si="7"/>
        <v>1.7770995754588608E-41</v>
      </c>
      <c r="AP27" s="16">
        <f t="shared" si="8"/>
        <v>1.7770995754588609E-29</v>
      </c>
      <c r="AQ27" s="16">
        <f t="shared" si="11"/>
        <v>5.7039098847946464E+16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 s="26">
        <f t="shared" si="0"/>
        <v>60.496368240000002</v>
      </c>
      <c r="H28">
        <f>(G28-(A28*'Atomic Particles'!C1))/'Atomic Particles'!C2+A28</f>
        <v>60.015165426850942</v>
      </c>
      <c r="I28" s="16">
        <f t="shared" si="1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2"/>
        <v>23.95</v>
      </c>
      <c r="AH28" s="16">
        <f t="shared" si="3"/>
        <v>168.15030281462236</v>
      </c>
      <c r="AI28" s="16">
        <f t="shared" si="4"/>
        <v>0.59740730632680439</v>
      </c>
      <c r="AM28" s="15">
        <f t="shared" si="5"/>
        <v>0</v>
      </c>
      <c r="AN28">
        <f t="shared" si="6"/>
        <v>4.0500000000000007</v>
      </c>
      <c r="AO28" s="16">
        <f t="shared" si="7"/>
        <v>1.5868669480396737E-41</v>
      </c>
      <c r="AP28" s="16">
        <f t="shared" si="8"/>
        <v>1.5868669480396738E-29</v>
      </c>
      <c r="AQ28" s="16">
        <f t="shared" si="11"/>
        <v>6.1468896040900088E+16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 s="26">
        <f t="shared" si="0"/>
        <v>63.521522820000001</v>
      </c>
      <c r="H29">
        <f>(G29-(A29*'Atomic Particles'!C1))/'Atomic Particles'!C2+A29</f>
        <v>63.015706268106769</v>
      </c>
      <c r="I29" s="16">
        <f t="shared" si="1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2"/>
        <v>25.299999999999997</v>
      </c>
      <c r="AH29" s="16">
        <f t="shared" si="3"/>
        <v>134.62612756143378</v>
      </c>
      <c r="AI29" s="16">
        <f t="shared" si="4"/>
        <v>0.78348453270690421</v>
      </c>
      <c r="AM29" s="15">
        <f t="shared" si="5"/>
        <v>0</v>
      </c>
      <c r="AN29">
        <f t="shared" si="6"/>
        <v>3.7000000000000028</v>
      </c>
      <c r="AO29" s="16">
        <f t="shared" si="7"/>
        <v>2.0811357612904235E-41</v>
      </c>
      <c r="AP29" s="16">
        <f t="shared" si="8"/>
        <v>2.0811357612904236E-29</v>
      </c>
      <c r="AQ29" s="16">
        <f>(1 / (2 * 3.14159265358979)) * SQRT((A29 * (1.602176634E-19^2)) / ((AI29 * 1E-30) * 9.1093837015E-31 * 8.8541878128E-12))</f>
        <v>5.4625502865316664E+16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 s="26">
        <f t="shared" si="0"/>
        <v>64.529347399999992</v>
      </c>
      <c r="H30">
        <f>(G30-(A30*'Atomic Particles'!C1))/'Atomic Particles'!C2+A30</f>
        <v>64.016248932003236</v>
      </c>
      <c r="I30" s="16">
        <f t="shared" si="1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2"/>
        <v>25.65</v>
      </c>
      <c r="AH30" s="16">
        <f t="shared" si="3"/>
        <v>222.24311951854509</v>
      </c>
      <c r="AI30" s="16">
        <f t="shared" si="4"/>
        <v>0.48213407726559016</v>
      </c>
      <c r="AM30" s="15">
        <f t="shared" si="5"/>
        <v>0</v>
      </c>
      <c r="AN30">
        <f t="shared" si="6"/>
        <v>4.3500000000000014</v>
      </c>
      <c r="AO30" s="16">
        <f t="shared" si="7"/>
        <v>1.2806717019256577E-41</v>
      </c>
      <c r="AP30" s="16">
        <f t="shared" si="8"/>
        <v>1.2806717019256576E-29</v>
      </c>
      <c r="AQ30" s="16">
        <f>(1 / (2 * 3.14159265358979)) * SQRT((A30 * (1.602176634E-19^2)) / ((AI30 * 1E-30) * 9.1093837015E-31 * 8.8541878128E-12))</f>
        <v>7.0825292326728936E+16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 s="26">
        <f t="shared" si="0"/>
        <v>71.589161979999986</v>
      </c>
      <c r="H31">
        <f>(G31-(A31*'Atomic Particles'!C1))/'Atomic Particles'!C2+A31</f>
        <v>71.016786127977753</v>
      </c>
      <c r="I31" s="16">
        <f t="shared" si="1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2"/>
        <v>26</v>
      </c>
      <c r="AH31" s="16">
        <f t="shared" si="3"/>
        <v>374.42132184805428</v>
      </c>
      <c r="AI31" s="16">
        <f t="shared" si="4"/>
        <v>0.31748673628162327</v>
      </c>
      <c r="AM31" s="15">
        <f t="shared" si="5"/>
        <v>0</v>
      </c>
      <c r="AN31">
        <f t="shared" si="6"/>
        <v>5</v>
      </c>
      <c r="AO31" s="16">
        <f>4 * PI() * 8.854187817E-12 * (I31 * 0.0000000001)^3</f>
        <v>8.433261577331523E-42</v>
      </c>
      <c r="AP31" s="16">
        <f t="shared" si="8"/>
        <v>8.433261577331523E-30</v>
      </c>
      <c r="AQ31" s="16">
        <f t="shared" ref="AQ31:AQ52" si="12">(1 / (2 * 3.14159265358979)) * SQRT((A31 * (1.602176634E-19^2)) / ((AI31 * 1E-30) * 9.1093837015E-31 * 8.8541878128E-12))</f>
        <v>8.8721671724911456E+16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 s="26">
        <f t="shared" si="0"/>
        <v>70.579656559999989</v>
      </c>
      <c r="H32">
        <f>(G32-(A32*'Atomic Particles'!C1))/'Atomic Particles'!C2+A32</f>
        <v>70.01733061451489</v>
      </c>
      <c r="I32" s="16">
        <f t="shared" si="1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2"/>
        <v>26.349999999999998</v>
      </c>
      <c r="AH32" s="16">
        <f t="shared" si="3"/>
        <v>532.63311591816603</v>
      </c>
      <c r="AI32" s="16">
        <f t="shared" si="4"/>
        <v>0.22003423410099468</v>
      </c>
      <c r="AM32" s="15">
        <f t="shared" si="5"/>
        <v>0</v>
      </c>
      <c r="AN32">
        <f t="shared" si="6"/>
        <v>5.6500000000000021</v>
      </c>
      <c r="AO32" s="16">
        <f t="shared" si="7"/>
        <v>5.8446733046998585E-42</v>
      </c>
      <c r="AP32" s="16">
        <f t="shared" si="8"/>
        <v>5.8446733046998587E-30</v>
      </c>
      <c r="AQ32" s="16">
        <f t="shared" si="12"/>
        <v>1.082783237377177E+17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 s="26">
        <f t="shared" si="0"/>
        <v>75.622141139999997</v>
      </c>
      <c r="H33">
        <f>(G33-(A33*'Atomic Particles'!C1))/'Atomic Particles'!C2+A33</f>
        <v>75.017869633130076</v>
      </c>
      <c r="I33" s="16">
        <f t="shared" si="1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2"/>
        <v>26.7</v>
      </c>
      <c r="AH33" s="16">
        <f t="shared" si="3"/>
        <v>791.17744634126245</v>
      </c>
      <c r="AI33" s="16">
        <f t="shared" si="4"/>
        <v>0.15871352999717214</v>
      </c>
      <c r="AM33" s="15">
        <f t="shared" si="5"/>
        <v>0</v>
      </c>
      <c r="AN33">
        <f t="shared" si="6"/>
        <v>6.3000000000000007</v>
      </c>
      <c r="AO33" s="16">
        <f t="shared" si="7"/>
        <v>4.2158382110820787E-42</v>
      </c>
      <c r="AP33" s="16">
        <f t="shared" si="8"/>
        <v>4.2158382110820785E-30</v>
      </c>
      <c r="AQ33" s="16">
        <f t="shared" si="12"/>
        <v>1.2946776684770128E+17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 s="26">
        <f t="shared" si="0"/>
        <v>77.638630719999995</v>
      </c>
      <c r="H34">
        <f>(G34-(A34*'Atomic Particles'!C1))/'Atomic Particles'!C2+A34</f>
        <v>77.01841138570623</v>
      </c>
      <c r="I34" s="16">
        <f t="shared" si="1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2"/>
        <v>27.049999999999997</v>
      </c>
      <c r="AH34" s="16">
        <f t="shared" si="3"/>
        <v>1090.5248380660012</v>
      </c>
      <c r="AI34" s="16">
        <f t="shared" si="4"/>
        <v>0.11821734068817014</v>
      </c>
      <c r="AM34" s="15">
        <f t="shared" si="5"/>
        <v>0</v>
      </c>
      <c r="AN34">
        <f t="shared" si="6"/>
        <v>6.9500000000000028</v>
      </c>
      <c r="AO34" s="16">
        <f t="shared" si="7"/>
        <v>3.1401556130380038E-42</v>
      </c>
      <c r="AP34" s="16">
        <f t="shared" si="8"/>
        <v>3.1401556130380039E-30</v>
      </c>
      <c r="AQ34" s="16">
        <f t="shared" si="12"/>
        <v>1.5226866086703152E+17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 s="26">
        <f t="shared" si="0"/>
        <v>81.672450299999994</v>
      </c>
      <c r="H35">
        <f>(G35-(A35*'Atomic Particles'!C1))/'Atomic Particles'!C2+A35</f>
        <v>81.018951315641715</v>
      </c>
      <c r="I35" s="16">
        <f t="shared" si="1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2"/>
        <v>27.4</v>
      </c>
      <c r="AH35" s="16">
        <f t="shared" si="3"/>
        <v>1500.0980367549143</v>
      </c>
      <c r="AI35" s="16">
        <f t="shared" si="4"/>
        <v>9.0405493774609283E-2</v>
      </c>
      <c r="AM35" s="15">
        <f t="shared" si="5"/>
        <v>0</v>
      </c>
      <c r="AN35">
        <f t="shared" si="6"/>
        <v>7.6000000000000014</v>
      </c>
      <c r="AO35" s="16">
        <f t="shared" si="7"/>
        <v>2.4014016647070453E-42</v>
      </c>
      <c r="AP35" s="16">
        <f t="shared" si="8"/>
        <v>2.4014016647070453E-30</v>
      </c>
      <c r="AQ35" s="16">
        <f t="shared" si="12"/>
        <v>1.7666408708404634E+17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 s="26">
        <f t="shared" si="0"/>
        <v>83.688939880000007</v>
      </c>
      <c r="H36">
        <f>(G36-(A36*'Atomic Particles'!C1))/'Atomic Particles'!C2+A36</f>
        <v>83.019493068217884</v>
      </c>
      <c r="I36" s="16">
        <f t="shared" si="1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2"/>
        <v>27.75</v>
      </c>
      <c r="AH36" s="16">
        <f t="shared" si="3"/>
        <v>1966.2249048187437</v>
      </c>
      <c r="AI36" s="16">
        <f t="shared" si="4"/>
        <v>7.0676291572835392E-2</v>
      </c>
      <c r="AM36" s="15">
        <f t="shared" si="5"/>
        <v>0</v>
      </c>
      <c r="AN36">
        <f t="shared" si="6"/>
        <v>8.25</v>
      </c>
      <c r="AO36" s="16">
        <f t="shared" si="7"/>
        <v>1.8773434793848176E-42</v>
      </c>
      <c r="AP36" s="16">
        <f t="shared" si="8"/>
        <v>1.8773434793848175E-30</v>
      </c>
      <c r="AQ36" s="16">
        <f t="shared" si="12"/>
        <v>2.0264040097060509E+17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 s="26">
        <f t="shared" si="0"/>
        <v>85.705429460000005</v>
      </c>
      <c r="H37">
        <f>(G37-(A37*'Atomic Particles'!C1))/'Atomic Particles'!C2+A37</f>
        <v>85.020034820794052</v>
      </c>
      <c r="I37" s="16">
        <f t="shared" si="1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2"/>
        <v>34.799999999999997</v>
      </c>
      <c r="AH37" s="16">
        <f t="shared" si="3"/>
        <v>38.183845003459957</v>
      </c>
      <c r="AI37" s="16">
        <f t="shared" si="4"/>
        <v>3.7270700634112286</v>
      </c>
      <c r="AM37" s="15">
        <f t="shared" si="5"/>
        <v>0</v>
      </c>
      <c r="AN37">
        <f t="shared" si="6"/>
        <v>2.2000000000000028</v>
      </c>
      <c r="AO37" s="16">
        <f t="shared" si="7"/>
        <v>9.9000535045683401E-41</v>
      </c>
      <c r="AP37" s="16">
        <f t="shared" si="8"/>
        <v>9.9000535045683399E-29</v>
      </c>
      <c r="AQ37" s="16">
        <f t="shared" si="12"/>
        <v>2.8289726330435648E+16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 s="26">
        <f>(A38 * 1.007276) + (F38 * 1.008665) + (L38 * 0.00054858)</f>
        <v>88.730584039999982</v>
      </c>
      <c r="H38">
        <f>(G38-(A38*'Atomic Particles'!C1))/'Atomic Particles'!C2+A38</f>
        <v>88.020575662049851</v>
      </c>
      <c r="I38" s="16">
        <f t="shared" si="1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2"/>
        <v>35.15</v>
      </c>
      <c r="AH38" s="16">
        <f t="shared" si="3"/>
        <v>85.943136788304287</v>
      </c>
      <c r="AI38" s="16">
        <f t="shared" si="4"/>
        <v>1.7143560300962928</v>
      </c>
      <c r="AM38" s="15">
        <f t="shared" si="5"/>
        <v>0</v>
      </c>
      <c r="AN38">
        <f t="shared" si="6"/>
        <v>2.8500000000000014</v>
      </c>
      <c r="AO38" s="16">
        <f t="shared" si="7"/>
        <v>4.5537690827037261E-41</v>
      </c>
      <c r="AP38" s="16">
        <f t="shared" si="8"/>
        <v>4.5537690827037263E-29</v>
      </c>
      <c r="AQ38" s="16">
        <f t="shared" si="12"/>
        <v>4.227201511737368E+16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 s="26">
        <f t="shared" si="0"/>
        <v>89.738408620000001</v>
      </c>
      <c r="H39">
        <f>(G39-(A39*'Atomic Particles'!C1))/'Atomic Particles'!C2+A39</f>
        <v>89.021118325946333</v>
      </c>
      <c r="I39" s="16">
        <f t="shared" si="1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2"/>
        <v>36</v>
      </c>
      <c r="AH39" s="16">
        <f t="shared" si="3"/>
        <v>101.37839432248799</v>
      </c>
      <c r="AI39" s="16">
        <f t="shared" si="4"/>
        <v>1.4698460013038117</v>
      </c>
      <c r="AM39" s="15">
        <f t="shared" si="5"/>
        <v>0</v>
      </c>
      <c r="AN39">
        <f t="shared" si="6"/>
        <v>3</v>
      </c>
      <c r="AO39" s="16">
        <f t="shared" si="7"/>
        <v>3.904287767283114E-41</v>
      </c>
      <c r="AP39" s="16">
        <f t="shared" si="8"/>
        <v>3.9042877672831139E-29</v>
      </c>
      <c r="AQ39" s="16">
        <f t="shared" si="12"/>
        <v>4.6249607190512088E+16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 s="26">
        <f t="shared" si="0"/>
        <v>88.728903200000005</v>
      </c>
      <c r="H40">
        <f>(G40-(A40*'Atomic Particles'!C1))/'Atomic Particles'!C2+A40</f>
        <v>88.02166281248347</v>
      </c>
      <c r="I40" s="16">
        <f t="shared" si="1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2"/>
        <v>36.85</v>
      </c>
      <c r="AH40" s="16">
        <f t="shared" si="3"/>
        <v>116.03795196778819</v>
      </c>
      <c r="AI40" s="16">
        <f t="shared" si="4"/>
        <v>1.2697082399773794</v>
      </c>
      <c r="AM40" s="15">
        <f t="shared" si="5"/>
        <v>0</v>
      </c>
      <c r="AN40">
        <f t="shared" si="6"/>
        <v>3.1499999999999986</v>
      </c>
      <c r="AO40" s="16">
        <f t="shared" si="7"/>
        <v>3.3726705688656676E-41</v>
      </c>
      <c r="AP40" s="16">
        <f t="shared" si="8"/>
        <v>3.3726705688656673E-29</v>
      </c>
      <c r="AQ40" s="16">
        <f t="shared" si="12"/>
        <v>5.0395259896942792E+16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 s="26">
        <f t="shared" si="0"/>
        <v>93.771387779999998</v>
      </c>
      <c r="H41">
        <f>(G41-(A41*'Atomic Particles'!C1))/'Atomic Particles'!C2+A41</f>
        <v>93.022201831098641</v>
      </c>
      <c r="I41" s="16">
        <f t="shared" si="1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2"/>
        <v>38.200000000000003</v>
      </c>
      <c r="AH41" s="16">
        <f t="shared" si="3"/>
        <v>86.128665463808858</v>
      </c>
      <c r="AI41" s="16">
        <f t="shared" si="4"/>
        <v>1.8078463026240441</v>
      </c>
      <c r="AM41" s="15">
        <f t="shared" si="5"/>
        <v>0</v>
      </c>
      <c r="AN41">
        <f t="shared" si="6"/>
        <v>2.7999999999999972</v>
      </c>
      <c r="AO41" s="16">
        <f t="shared" si="7"/>
        <v>4.8021032123106924E-41</v>
      </c>
      <c r="AP41" s="16">
        <f t="shared" si="8"/>
        <v>4.8021032123106922E-29</v>
      </c>
      <c r="AQ41" s="16">
        <f t="shared" si="12"/>
        <v>4.2758537104695304E+16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 s="26">
        <f t="shared" si="0"/>
        <v>95.787877359999996</v>
      </c>
      <c r="H42">
        <f>(G42-(A42*'Atomic Particles'!C1))/'Atomic Particles'!C2+A42</f>
        <v>95.022743583674782</v>
      </c>
      <c r="I42" s="16">
        <f t="shared" si="1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2"/>
        <v>39.049999999999997</v>
      </c>
      <c r="AH42" s="16">
        <f t="shared" si="3"/>
        <v>102.89158987424868</v>
      </c>
      <c r="AI42" s="16">
        <f t="shared" si="4"/>
        <v>1.5458578349374685</v>
      </c>
      <c r="AM42" s="15">
        <f t="shared" si="5"/>
        <v>0</v>
      </c>
      <c r="AN42">
        <f t="shared" si="6"/>
        <v>2.9500000000000028</v>
      </c>
      <c r="AO42" s="16">
        <f t="shared" si="7"/>
        <v>4.1061946826751998E-41</v>
      </c>
      <c r="AP42" s="16">
        <f t="shared" si="8"/>
        <v>4.1061946826751998E-29</v>
      </c>
      <c r="AQ42" s="16">
        <f t="shared" si="12"/>
        <v>4.680061198059484E+16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 s="26">
        <f t="shared" si="0"/>
        <v>97.804366939999994</v>
      </c>
      <c r="H43">
        <f>(G43-(A43*'Atomic Particles'!C1))/'Atomic Particles'!C2+A43</f>
        <v>97.023285336250936</v>
      </c>
      <c r="I43" s="16">
        <f t="shared" si="1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2"/>
        <v>39.4</v>
      </c>
      <c r="AH43" s="16">
        <f t="shared" si="3"/>
        <v>190.92773882716551</v>
      </c>
      <c r="AI43" s="16">
        <f t="shared" si="4"/>
        <v>0.85060532482859375</v>
      </c>
      <c r="AM43" s="15">
        <f t="shared" si="5"/>
        <v>0</v>
      </c>
      <c r="AN43">
        <f t="shared" si="6"/>
        <v>3.6000000000000014</v>
      </c>
      <c r="AO43" s="16">
        <f t="shared" si="7"/>
        <v>2.2594257912517986E-41</v>
      </c>
      <c r="AP43" s="16">
        <f t="shared" si="8"/>
        <v>2.2594257912517985E-29</v>
      </c>
      <c r="AQ43" s="16">
        <f t="shared" si="12"/>
        <v>6.3838377691438976E+16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 s="26">
        <f t="shared" si="0"/>
        <v>101.83818651999999</v>
      </c>
      <c r="H44">
        <f>(G44-(A44*'Atomic Particles'!C1))/'Atomic Particles'!C2+A44</f>
        <v>101.02382526618644</v>
      </c>
      <c r="I44" s="16">
        <f t="shared" si="1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2"/>
        <v>40.75</v>
      </c>
      <c r="AH44" s="16">
        <f t="shared" si="3"/>
        <v>146.27295009283151</v>
      </c>
      <c r="AI44" s="16">
        <f t="shared" si="4"/>
        <v>1.1560736869608494</v>
      </c>
      <c r="AM44" s="15">
        <f t="shared" si="5"/>
        <v>0</v>
      </c>
      <c r="AN44">
        <f t="shared" si="6"/>
        <v>3.25</v>
      </c>
      <c r="AO44" s="16">
        <f t="shared" si="7"/>
        <v>3.0708280663929077E-41</v>
      </c>
      <c r="AP44" s="16">
        <f>AO44 * 10^12</f>
        <v>3.0708280663929076E-29</v>
      </c>
      <c r="AQ44" s="16">
        <f t="shared" si="12"/>
        <v>5.5391769966090928E+16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 s="26">
        <f t="shared" si="0"/>
        <v>103.85467610000001</v>
      </c>
      <c r="H45">
        <f>(G45-(A45*'Atomic Particles'!C1))/'Atomic Particles'!C2+A45</f>
        <v>103.0243670187626</v>
      </c>
      <c r="I45" s="16">
        <f t="shared" si="1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2"/>
        <v>41.6</v>
      </c>
      <c r="AH45" s="16">
        <f>(G45 * 1.6605E-24) / (AI45 * 1E-24)</f>
        <v>170.79143490374875</v>
      </c>
      <c r="AI45" s="16">
        <f t="shared" si="4"/>
        <v>1.0097150935070975</v>
      </c>
      <c r="AM45" s="15">
        <f t="shared" si="5"/>
        <v>0</v>
      </c>
      <c r="AN45">
        <f t="shared" si="6"/>
        <v>3.3999999999999986</v>
      </c>
      <c r="AO45" s="16">
        <f t="shared" si="7"/>
        <v>2.6820621238714677E-41</v>
      </c>
      <c r="AP45" s="16">
        <f t="shared" si="8"/>
        <v>2.6820621238714675E-29</v>
      </c>
      <c r="AQ45" s="16">
        <f t="shared" si="12"/>
        <v>5.9940242464208664E+16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 s="26">
        <f t="shared" si="0"/>
        <v>105.87116567999999</v>
      </c>
      <c r="H46">
        <f>(G46-(A46*'Atomic Particles'!C1))/'Atomic Particles'!C2+A46</f>
        <v>105.02490877133874</v>
      </c>
      <c r="I46" s="16">
        <f t="shared" si="1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2"/>
        <v>42.95</v>
      </c>
      <c r="AH46" s="16">
        <f t="shared" si="3"/>
        <v>125.68414452156824</v>
      </c>
      <c r="AI46" s="16">
        <f t="shared" si="4"/>
        <v>1.3987370585274719</v>
      </c>
      <c r="AM46" s="15">
        <f t="shared" si="5"/>
        <v>0</v>
      </c>
      <c r="AN46">
        <f t="shared" si="6"/>
        <v>3.0499999999999972</v>
      </c>
      <c r="AO46" s="16">
        <f t="shared" si="7"/>
        <v>3.7154041868401087E-41</v>
      </c>
      <c r="AP46" s="16">
        <f t="shared" si="8"/>
        <v>3.7154041868401086E-29</v>
      </c>
      <c r="AQ46" s="16">
        <f t="shared" si="12"/>
        <v>5.1489958024995248E+16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 s="26">
        <f t="shared" si="0"/>
        <v>109.90498525999999</v>
      </c>
      <c r="H47">
        <f>(G47-(A47*'Atomic Particles'!C1))/'Atomic Particles'!C2+A47</f>
        <v>109.02544870127424</v>
      </c>
      <c r="I47" s="16">
        <f t="shared" si="1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2"/>
        <v>43.3</v>
      </c>
      <c r="AH47" s="16">
        <f t="shared" si="3"/>
        <v>232.93022440878343</v>
      </c>
      <c r="AI47" s="16">
        <f t="shared" si="4"/>
        <v>0.78348453270690421</v>
      </c>
      <c r="AM47" s="15">
        <f t="shared" si="5"/>
        <v>0</v>
      </c>
      <c r="AN47">
        <f t="shared" si="6"/>
        <v>3.7000000000000028</v>
      </c>
      <c r="AO47" s="16">
        <f t="shared" si="7"/>
        <v>2.0811357612904235E-41</v>
      </c>
      <c r="AP47" s="16">
        <f t="shared" si="8"/>
        <v>2.0811357612904236E-29</v>
      </c>
      <c r="AQ47" s="16">
        <f t="shared" si="12"/>
        <v>6.9541711986545512E+16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 s="26">
        <f t="shared" si="0"/>
        <v>111.92147483999999</v>
      </c>
      <c r="H48">
        <f>(G48-(A48*'Atomic Particles'!C1))/'Atomic Particles'!C2+A48</f>
        <v>111.0259904538504</v>
      </c>
      <c r="I48" s="16">
        <f t="shared" si="1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2"/>
        <v>43.65</v>
      </c>
      <c r="AH48" s="16">
        <f t="shared" si="3"/>
        <v>385.46457870358006</v>
      </c>
      <c r="AI48" s="16">
        <f t="shared" si="4"/>
        <v>0.48213407726559016</v>
      </c>
      <c r="AM48" s="15">
        <f t="shared" si="5"/>
        <v>0</v>
      </c>
      <c r="AN48">
        <f t="shared" si="6"/>
        <v>4.3500000000000014</v>
      </c>
      <c r="AO48" s="16">
        <f t="shared" si="7"/>
        <v>1.2806717019256577E-41</v>
      </c>
      <c r="AP48" s="16">
        <f t="shared" si="8"/>
        <v>1.2806717019256576E-29</v>
      </c>
      <c r="AQ48" s="16">
        <f t="shared" si="12"/>
        <v>8.9587695879883952E+16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 s="26">
        <f t="shared" si="0"/>
        <v>115.95529442</v>
      </c>
      <c r="H49">
        <f>(G49-(A49*'Atomic Particles'!C1))/'Atomic Particles'!C2+A49</f>
        <v>115.02653038378591</v>
      </c>
      <c r="I49" s="16">
        <f t="shared" si="1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2"/>
        <v>44</v>
      </c>
      <c r="AH49" s="16">
        <f t="shared" si="3"/>
        <v>606.46239474274012</v>
      </c>
      <c r="AI49" s="16">
        <f t="shared" si="4"/>
        <v>0.31748673628162327</v>
      </c>
      <c r="AM49" s="15">
        <f t="shared" si="5"/>
        <v>0</v>
      </c>
      <c r="AN49">
        <f t="shared" si="6"/>
        <v>5</v>
      </c>
      <c r="AO49" s="16">
        <f t="shared" si="7"/>
        <v>8.433261577331523E-42</v>
      </c>
      <c r="AP49" s="16">
        <f t="shared" si="8"/>
        <v>8.433261577331523E-30</v>
      </c>
      <c r="AQ49" s="16">
        <f t="shared" si="12"/>
        <v>1.1154417852531166E+17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 s="26">
        <f t="shared" si="0"/>
        <v>117.971784</v>
      </c>
      <c r="H50">
        <f>(G50-(A50*'Atomic Particles'!C1))/'Atomic Particles'!C2+A50</f>
        <v>117.02707213636205</v>
      </c>
      <c r="I50" s="16">
        <f t="shared" si="1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2"/>
        <v>44.349999999999994</v>
      </c>
      <c r="AH50" s="16">
        <f t="shared" si="3"/>
        <v>890.28031538986249</v>
      </c>
      <c r="AI50" s="16">
        <f t="shared" si="4"/>
        <v>0.22003423410099429</v>
      </c>
      <c r="AM50" s="15">
        <f t="shared" si="5"/>
        <v>0</v>
      </c>
      <c r="AN50">
        <f t="shared" si="6"/>
        <v>5.6500000000000057</v>
      </c>
      <c r="AO50" s="16">
        <f t="shared" si="7"/>
        <v>5.8446733046998508E-42</v>
      </c>
      <c r="AP50" s="16">
        <f t="shared" si="8"/>
        <v>5.844673304699851E-30</v>
      </c>
      <c r="AQ50" s="16">
        <f t="shared" si="12"/>
        <v>1.3534790467214723E+17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 s="26">
        <f t="shared" si="0"/>
        <v>126.04026358</v>
      </c>
      <c r="H51">
        <f>(G51-(A51*'Atomic Particles'!C1))/'Atomic Particles'!C2+A51</f>
        <v>125.02760842101627</v>
      </c>
      <c r="I51" s="16">
        <f t="shared" si="1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2"/>
        <v>44.7</v>
      </c>
      <c r="AH51" s="16">
        <f t="shared" si="3"/>
        <v>1318.6642479586881</v>
      </c>
      <c r="AI51" s="16">
        <f t="shared" si="4"/>
        <v>0.15871352999717242</v>
      </c>
      <c r="AM51" s="15">
        <f t="shared" si="5"/>
        <v>0</v>
      </c>
      <c r="AN51">
        <f t="shared" si="6"/>
        <v>6.2999999999999972</v>
      </c>
      <c r="AO51" s="16">
        <f t="shared" si="7"/>
        <v>4.2158382110820844E-42</v>
      </c>
      <c r="AP51" s="16">
        <f t="shared" si="8"/>
        <v>4.2158382110820841E-30</v>
      </c>
      <c r="AQ51" s="16">
        <f t="shared" si="12"/>
        <v>1.6094955310537578E+17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 s="26">
        <f t="shared" si="0"/>
        <v>129.06541816000001</v>
      </c>
      <c r="H52">
        <f>(G52-(A52*'Atomic Particles'!C1))/'Atomic Particles'!C2+A52</f>
        <v>128.02814926227211</v>
      </c>
      <c r="I52" s="16">
        <f t="shared" si="1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2"/>
        <v>45.05</v>
      </c>
      <c r="AH52" s="16">
        <f t="shared" si="3"/>
        <v>1812.8738610352289</v>
      </c>
      <c r="AI52" s="16">
        <f t="shared" si="4"/>
        <v>0.11821734068817014</v>
      </c>
      <c r="AM52" s="15">
        <f t="shared" si="5"/>
        <v>0</v>
      </c>
      <c r="AN52">
        <f t="shared" si="6"/>
        <v>6.9500000000000028</v>
      </c>
      <c r="AO52" s="16">
        <f t="shared" si="7"/>
        <v>3.1401556130380038E-42</v>
      </c>
      <c r="AP52" s="16">
        <f t="shared" si="8"/>
        <v>3.1401556130380039E-30</v>
      </c>
      <c r="AQ52" s="16">
        <f t="shared" si="12"/>
        <v>1.8830972174119946E+17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 s="26">
        <f t="shared" si="0"/>
        <v>128.05591274</v>
      </c>
      <c r="H53">
        <f>(G53-(A53*'Atomic Particles'!C1))/'Atomic Particles'!C2+A53</f>
        <v>127.02869374880922</v>
      </c>
      <c r="I53" s="16">
        <f t="shared" si="1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2"/>
        <v>45.4</v>
      </c>
      <c r="AH53" s="16">
        <f t="shared" si="3"/>
        <v>2352.0345304998477</v>
      </c>
      <c r="AI53" s="16">
        <f t="shared" si="4"/>
        <v>9.0405493774609283E-2</v>
      </c>
      <c r="AM53" s="15">
        <f t="shared" si="5"/>
        <v>0</v>
      </c>
      <c r="AN53">
        <f t="shared" si="6"/>
        <v>7.6000000000000014</v>
      </c>
      <c r="AO53" s="16">
        <f t="shared" si="7"/>
        <v>2.4014016647070453E-42</v>
      </c>
      <c r="AP53" s="16">
        <f t="shared" si="8"/>
        <v>2.4014016647070453E-30</v>
      </c>
      <c r="AQ53" s="16">
        <f>(1 / (2 * 3.14159265358979)) * SQRT((A53 * (1.602176634E-19^2)) / ((AI53 * 1E-30) * 9.1093837015E-31 * 8.8541878128E-12))</f>
        <v>2.1739631895015373E+17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 s="26">
        <f t="shared" si="0"/>
        <v>130.07240232000001</v>
      </c>
      <c r="H54">
        <f>(G54-(A54*'Atomic Particles'!C1))/'Atomic Particles'!C2+A54</f>
        <v>129.02923550138536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2"/>
        <v>45.75</v>
      </c>
      <c r="AH54" s="16">
        <f t="shared" si="3"/>
        <v>3055.9784511299194</v>
      </c>
      <c r="AI54" s="16">
        <f t="shared" si="4"/>
        <v>7.0676291572835392E-2</v>
      </c>
      <c r="AM54" s="15">
        <f t="shared" si="5"/>
        <v>0</v>
      </c>
      <c r="AN54">
        <f t="shared" si="6"/>
        <v>8.25</v>
      </c>
      <c r="AO54" s="16">
        <f t="shared" si="7"/>
        <v>1.8773434793848176E-42</v>
      </c>
      <c r="AP54" s="16">
        <f t="shared" si="8"/>
        <v>1.8773434793848175E-30</v>
      </c>
      <c r="AQ54" s="16">
        <f>(1 / (2 * 3.14159265358979)) * SQRT((A54 * (1.602176634E-19^2)) / ((AI54 * 1E-30) * 9.1093837015E-31 * 8.8541878128E-12))</f>
        <v>2.4818279182548374E+17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 s="26">
        <f t="shared" si="0"/>
        <v>134.10622190000001</v>
      </c>
      <c r="H55">
        <f>(G55-(A55*'Atomic Particles'!C1))/'Atomic Particles'!C2+A55</f>
        <v>133.02977543132087</v>
      </c>
      <c r="I55" s="16">
        <f t="shared" si="1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2"/>
        <v>52.8</v>
      </c>
      <c r="AH55" s="16">
        <f t="shared" si="3"/>
        <v>59.74757052491185</v>
      </c>
      <c r="AI55" s="16">
        <f t="shared" si="4"/>
        <v>3.7270700634112286</v>
      </c>
      <c r="AM55" s="15">
        <f t="shared" si="5"/>
        <v>0</v>
      </c>
      <c r="AN55">
        <f t="shared" si="6"/>
        <v>2.2000000000000028</v>
      </c>
      <c r="AO55" s="16">
        <f t="shared" si="7"/>
        <v>9.9000535045683401E-41</v>
      </c>
      <c r="AP55" s="16">
        <f t="shared" si="8"/>
        <v>9.9000535045683399E-29</v>
      </c>
      <c r="AQ55" s="16">
        <f t="shared" ref="AQ55:AQ71" si="13">(1 / (2 * 3.14159265358979)) * SQRT((A55 * (1.602176634E-19^2)) / ((AI55 * 1E-30) * 9.1093837015E-31 * 8.8541878128E-12))</f>
        <v>3.44912734250438E+16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 s="26">
        <f t="shared" si="0"/>
        <v>136.12271148000002</v>
      </c>
      <c r="H56">
        <f>(G56-(A56*'Atomic Particles'!C1))/'Atomic Particles'!C2+A56</f>
        <v>135.03031718389704</v>
      </c>
      <c r="I56" s="16">
        <f t="shared" si="1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2"/>
        <v>53.15</v>
      </c>
      <c r="AH56" s="16">
        <f t="shared" si="3"/>
        <v>131.84645338800726</v>
      </c>
      <c r="AI56" s="16">
        <f t="shared" si="4"/>
        <v>1.7143560300962928</v>
      </c>
      <c r="AM56" s="15">
        <f t="shared" si="5"/>
        <v>0</v>
      </c>
      <c r="AN56">
        <f t="shared" si="6"/>
        <v>2.8500000000000014</v>
      </c>
      <c r="AO56" s="16">
        <f t="shared" si="7"/>
        <v>4.5537690827037261E-41</v>
      </c>
      <c r="AP56" s="16">
        <f t="shared" si="8"/>
        <v>4.5537690827037263E-29</v>
      </c>
      <c r="AQ56" s="16">
        <f t="shared" si="13"/>
        <v>5.1316280036208648E+16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 s="26">
        <f t="shared" si="0"/>
        <v>139.14786606000001</v>
      </c>
      <c r="H57">
        <f>(G57-(A57*'Atomic Particles'!C1))/'Atomic Particles'!C2+A57</f>
        <v>138.03085802515284</v>
      </c>
      <c r="I57" s="16">
        <f t="shared" si="1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2"/>
        <v>54</v>
      </c>
      <c r="AH57" s="16">
        <f t="shared" si="3"/>
        <v>157.19676169318083</v>
      </c>
      <c r="AI57" s="16">
        <f t="shared" si="4"/>
        <v>1.4698460013038117</v>
      </c>
      <c r="AM57" s="15">
        <f t="shared" si="5"/>
        <v>0</v>
      </c>
      <c r="AN57">
        <f t="shared" si="6"/>
        <v>3</v>
      </c>
      <c r="AO57" s="16">
        <f t="shared" si="7"/>
        <v>3.904287767283114E-41</v>
      </c>
      <c r="AP57" s="16">
        <f t="shared" si="8"/>
        <v>3.9042877672831139E-29</v>
      </c>
      <c r="AQ57" s="16">
        <f t="shared" si="13"/>
        <v>5.5913048662981856E+16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 s="26">
        <f t="shared" si="0"/>
        <v>139.14702564000001</v>
      </c>
      <c r="H58">
        <f>(G58-(A58*'Atomic Particles'!C1))/'Atomic Particles'!C2+A58</f>
        <v>138.03140160036963</v>
      </c>
      <c r="I58" s="16">
        <f t="shared" si="1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2"/>
        <v>55</v>
      </c>
      <c r="AH58" s="16">
        <f t="shared" si="3"/>
        <v>157.19581226214603</v>
      </c>
      <c r="AI58" s="16">
        <f t="shared" si="4"/>
        <v>1.4698460013038117</v>
      </c>
      <c r="AM58" s="15">
        <f t="shared" si="5"/>
        <v>0</v>
      </c>
      <c r="AN58">
        <f t="shared" si="6"/>
        <v>3</v>
      </c>
      <c r="AO58" s="16">
        <f t="shared" si="7"/>
        <v>3.904287767283114E-41</v>
      </c>
      <c r="AP58" s="16">
        <f t="shared" si="8"/>
        <v>3.9042877672831139E-29</v>
      </c>
      <c r="AQ58" s="16">
        <f t="shared" si="13"/>
        <v>5.640138150382188E+16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 s="26">
        <f t="shared" si="0"/>
        <v>142.17218022</v>
      </c>
      <c r="H59">
        <f>(G59-(A59*'Atomic Particles'!C1))/'Atomic Particles'!C2+A59</f>
        <v>141.03194244162546</v>
      </c>
      <c r="I59" s="16">
        <f t="shared" si="1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2"/>
        <v>56.15</v>
      </c>
      <c r="AH59" s="16">
        <f t="shared" si="3"/>
        <v>137.7058797069416</v>
      </c>
      <c r="AI59" s="16">
        <f t="shared" si="4"/>
        <v>1.7143560300962928</v>
      </c>
      <c r="AM59" s="15">
        <f t="shared" si="5"/>
        <v>0</v>
      </c>
      <c r="AN59">
        <f t="shared" si="6"/>
        <v>2.8500000000000014</v>
      </c>
      <c r="AO59" s="16">
        <f t="shared" si="7"/>
        <v>4.5537690827037261E-41</v>
      </c>
      <c r="AP59" s="16">
        <f t="shared" si="8"/>
        <v>4.5537690827037263E-29</v>
      </c>
      <c r="AQ59" s="16">
        <f t="shared" si="13"/>
        <v>5.267289137560648E+16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 s="26">
        <f t="shared" si="0"/>
        <v>144.18866979999999</v>
      </c>
      <c r="H60">
        <f>(G60-(A60*'Atomic Particles'!C1))/'Atomic Particles'!C2+A60</f>
        <v>143.03248419420163</v>
      </c>
      <c r="I60" s="16">
        <f t="shared" si="1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2"/>
        <v>57.15</v>
      </c>
      <c r="AH60" s="16">
        <f t="shared" si="3"/>
        <v>139.65902181325302</v>
      </c>
      <c r="AI60" s="16">
        <f t="shared" si="4"/>
        <v>1.7143560300962928</v>
      </c>
      <c r="AM60" s="15">
        <f t="shared" si="5"/>
        <v>0</v>
      </c>
      <c r="AN60">
        <f t="shared" si="6"/>
        <v>2.8500000000000014</v>
      </c>
      <c r="AO60" s="16">
        <f>4 * PI() * 8.854187817E-12 * (I60 * 0.0000000001)^3</f>
        <v>4.5537690827037261E-41</v>
      </c>
      <c r="AP60" s="16">
        <f t="shared" si="8"/>
        <v>4.5537690827037263E-29</v>
      </c>
      <c r="AQ60" s="16">
        <f t="shared" si="13"/>
        <v>5.3117396229832816E+16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 s="26">
        <f t="shared" si="0"/>
        <v>146.20515938</v>
      </c>
      <c r="H61">
        <f>(G61-(A61*'Atomic Particles'!C1))/'Atomic Particles'!C2+A61</f>
        <v>145.03302594677777</v>
      </c>
      <c r="I61" s="16">
        <f t="shared" si="1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2"/>
        <v>58.15</v>
      </c>
      <c r="AH61" s="16">
        <f t="shared" si="3"/>
        <v>141.61216391956447</v>
      </c>
      <c r="AI61" s="16">
        <f t="shared" si="4"/>
        <v>1.7143560300962928</v>
      </c>
      <c r="AM61" s="15">
        <f t="shared" si="5"/>
        <v>0</v>
      </c>
      <c r="AN61">
        <f t="shared" si="6"/>
        <v>2.8500000000000014</v>
      </c>
      <c r="AO61" s="16">
        <f t="shared" si="7"/>
        <v>4.5537690827037261E-41</v>
      </c>
      <c r="AP61" s="16">
        <f t="shared" si="8"/>
        <v>4.5537690827037263E-29</v>
      </c>
      <c r="AQ61" s="16">
        <f t="shared" si="13"/>
        <v>5.3558212055740568E+16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 s="26">
        <f t="shared" si="0"/>
        <v>148.22164895999998</v>
      </c>
      <c r="H62">
        <f>(G62-(A62*'Atomic Particles'!C1))/'Atomic Particles'!C2+A62</f>
        <v>147.03356769935391</v>
      </c>
      <c r="I62" s="16">
        <f t="shared" si="1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2"/>
        <v>59.15</v>
      </c>
      <c r="AH62" s="16">
        <f t="shared" si="3"/>
        <v>143.56530602587591</v>
      </c>
      <c r="AI62" s="16">
        <f t="shared" si="4"/>
        <v>1.7143560300962928</v>
      </c>
      <c r="AM62" s="15">
        <f t="shared" si="5"/>
        <v>0</v>
      </c>
      <c r="AN62">
        <f t="shared" si="6"/>
        <v>2.8500000000000014</v>
      </c>
      <c r="AO62" s="16">
        <f t="shared" si="7"/>
        <v>4.5537690827037261E-41</v>
      </c>
      <c r="AP62" s="16">
        <f t="shared" si="8"/>
        <v>4.5537690827037263E-29</v>
      </c>
      <c r="AQ62" s="16">
        <f t="shared" si="13"/>
        <v>5.3995429204501112E+16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 s="26">
        <f t="shared" si="0"/>
        <v>154.27279854</v>
      </c>
      <c r="H63">
        <f>(G63-(A63*'Atomic Particles'!C1))/'Atomic Particles'!C2+A63</f>
        <v>153.03410580664877</v>
      </c>
      <c r="I63" s="16">
        <f t="shared" si="1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2"/>
        <v>60.15</v>
      </c>
      <c r="AH63" s="16">
        <f t="shared" si="3"/>
        <v>149.42636038167714</v>
      </c>
      <c r="AI63" s="16">
        <f>(4/3) * PI() * (I63^3)</f>
        <v>1.7143560300962928</v>
      </c>
      <c r="AM63" s="15">
        <f t="shared" si="5"/>
        <v>0</v>
      </c>
      <c r="AN63">
        <f>A63-AG63</f>
        <v>2.8500000000000014</v>
      </c>
      <c r="AO63" s="16">
        <f t="shared" si="7"/>
        <v>4.5537690827037261E-41</v>
      </c>
      <c r="AP63" s="16">
        <f t="shared" si="8"/>
        <v>4.5537690827037263E-29</v>
      </c>
      <c r="AQ63" s="16">
        <f t="shared" si="13"/>
        <v>5.4429134398306472E+16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 s="26">
        <f t="shared" si="0"/>
        <v>153.26329311999999</v>
      </c>
      <c r="H64">
        <f>(G64-(A64*'Atomic Particles'!C1))/'Atomic Particles'!C2+A64</f>
        <v>152.0346502931859</v>
      </c>
      <c r="I64" s="16">
        <f t="shared" si="1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2"/>
        <v>61</v>
      </c>
      <c r="AH64" s="16">
        <f t="shared" si="3"/>
        <v>173.1431034271713</v>
      </c>
      <c r="AI64" s="16">
        <f t="shared" si="4"/>
        <v>1.4698460013038117</v>
      </c>
      <c r="AM64" s="15">
        <f t="shared" si="5"/>
        <v>0</v>
      </c>
      <c r="AN64">
        <f t="shared" si="6"/>
        <v>3</v>
      </c>
      <c r="AO64" s="16">
        <f t="shared" si="7"/>
        <v>3.904287767283114E-41</v>
      </c>
      <c r="AP64" s="16">
        <f t="shared" si="8"/>
        <v>3.9042877672831139E-29</v>
      </c>
      <c r="AQ64" s="16">
        <f t="shared" si="13"/>
        <v>5.9246913709017472E+16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 s="26">
        <f>(A65 * 1.007276) + (F65 * 1.008665) + (L65 * 0.00054858)</f>
        <v>160.32310770000001</v>
      </c>
      <c r="H65">
        <f>(G65-(A65*'Atomic Particles'!C1))/'Atomic Particles'!C2+A65</f>
        <v>159.03518748916045</v>
      </c>
      <c r="I65" s="16">
        <f t="shared" si="1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2"/>
        <v>62.15</v>
      </c>
      <c r="AH65" s="16">
        <f t="shared" si="3"/>
        <v>155.28660071904497</v>
      </c>
      <c r="AI65" s="16">
        <f t="shared" si="4"/>
        <v>1.7143560300962928</v>
      </c>
      <c r="AM65" s="15">
        <f t="shared" si="5"/>
        <v>0</v>
      </c>
      <c r="AN65">
        <f t="shared" si="6"/>
        <v>2.8500000000000014</v>
      </c>
      <c r="AO65" s="16">
        <f t="shared" si="7"/>
        <v>4.5537690827037261E-41</v>
      </c>
      <c r="AP65" s="16">
        <f t="shared" si="8"/>
        <v>4.5537690827037263E-29</v>
      </c>
      <c r="AQ65" s="16">
        <f t="shared" si="13"/>
        <v>5.528633885590676E+16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 s="26">
        <f t="shared" si="0"/>
        <v>162.33959727999996</v>
      </c>
      <c r="H66">
        <f>(G66-(A66*'Atomic Particles'!C1))/'Atomic Particles'!C2+A66</f>
        <v>161.03572924173653</v>
      </c>
      <c r="I66" s="16">
        <f t="shared" ref="I66:I87" si="14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5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6">(G66 * 1.6605E-24) / (AI66 * 1E-24)</f>
        <v>157.23974282535636</v>
      </c>
      <c r="AI66" s="16">
        <f t="shared" ref="AI66:AI100" si="17">(4/3) * PI() * (I66^3)</f>
        <v>1.7143560300962928</v>
      </c>
      <c r="AM66" s="15">
        <f t="shared" ref="AM66:AM119" si="18">A66 - L66</f>
        <v>0</v>
      </c>
      <c r="AN66">
        <f t="shared" ref="AN66:AN109" si="19">A66-AG66</f>
        <v>2.8500000000000014</v>
      </c>
      <c r="AO66" s="16">
        <f t="shared" ref="AO66:AO81" si="20">4 * PI() * 8.854187817E-12 * (I66 * 0.0000000001)^3</f>
        <v>4.5537690827037261E-41</v>
      </c>
      <c r="AP66" s="16">
        <f t="shared" ref="AP66:AP78" si="21">AO66 * 10^12</f>
        <v>4.5537690827037263E-29</v>
      </c>
      <c r="AQ66" s="16">
        <f t="shared" si="13"/>
        <v>5.5709995157608504E+16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2">E67-A67</f>
        <v>98</v>
      </c>
      <c r="G67" s="26">
        <f t="shared" ref="G67:G88" si="23">(A67 * 1.007276) + (F67 * 1.008665) + (L67 * 0.00054858)</f>
        <v>166.37341685999999</v>
      </c>
      <c r="H67">
        <f>(G67-(A67*'Atomic Particles'!C1))/'Atomic Particles'!C2+A67</f>
        <v>165.03626917167207</v>
      </c>
      <c r="I67" s="16">
        <f t="shared" si="14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5"/>
        <v>64.150000000000006</v>
      </c>
      <c r="AH67" s="16">
        <f t="shared" si="16"/>
        <v>161.14684105641152</v>
      </c>
      <c r="AI67" s="16">
        <f t="shared" si="17"/>
        <v>1.7143560300963059</v>
      </c>
      <c r="AM67" s="15">
        <f t="shared" si="18"/>
        <v>0</v>
      </c>
      <c r="AN67">
        <f t="shared" si="19"/>
        <v>2.8499999999999943</v>
      </c>
      <c r="AO67" s="16">
        <f t="shared" si="20"/>
        <v>4.5537690827037583E-41</v>
      </c>
      <c r="AP67" s="16">
        <f t="shared" si="21"/>
        <v>4.5537690827037583E-29</v>
      </c>
      <c r="AQ67" s="16">
        <f t="shared" si="13"/>
        <v>5.6130453916135008E+16</v>
      </c>
      <c r="AR67" s="16">
        <f t="shared" ref="AR67:AR118" si="24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2"/>
        <v>98</v>
      </c>
      <c r="G68" s="26">
        <f t="shared" si="23"/>
        <v>167.38124143999997</v>
      </c>
      <c r="H68">
        <f>(G68-(A68*'Atomic Particles'!C1))/'Atomic Particles'!C2+A68</f>
        <v>166.03681183556853</v>
      </c>
      <c r="I68" s="16">
        <f t="shared" si="14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5"/>
        <v>65.150000000000006</v>
      </c>
      <c r="AH68" s="16">
        <f t="shared" si="16"/>
        <v>162.1230051003505</v>
      </c>
      <c r="AI68" s="16">
        <f t="shared" si="17"/>
        <v>1.7143560300963059</v>
      </c>
      <c r="AM68" s="15">
        <f t="shared" si="18"/>
        <v>0</v>
      </c>
      <c r="AN68">
        <f t="shared" si="19"/>
        <v>2.8499999999999943</v>
      </c>
      <c r="AO68" s="16">
        <f t="shared" si="20"/>
        <v>4.5537690827037583E-41</v>
      </c>
      <c r="AP68" s="16">
        <f t="shared" si="21"/>
        <v>4.5537690827037583E-29</v>
      </c>
      <c r="AQ68" s="16">
        <f t="shared" si="13"/>
        <v>5.6547786457137056E+16</v>
      </c>
      <c r="AR68" s="16">
        <f t="shared" si="24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2"/>
        <v>100</v>
      </c>
      <c r="G69" s="26">
        <f t="shared" si="23"/>
        <v>170.40639601999999</v>
      </c>
      <c r="H69">
        <f>(G69-(A69*'Atomic Particles'!C1))/'Atomic Particles'!C2+A69</f>
        <v>169.03735267682438</v>
      </c>
      <c r="I69" s="16">
        <f t="shared" si="14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5"/>
        <v>66.150000000000006</v>
      </c>
      <c r="AH69" s="16">
        <f t="shared" si="16"/>
        <v>165.05312526903438</v>
      </c>
      <c r="AI69" s="16">
        <f t="shared" si="17"/>
        <v>1.7143560300963059</v>
      </c>
      <c r="AM69" s="15">
        <f t="shared" si="18"/>
        <v>0</v>
      </c>
      <c r="AN69">
        <f t="shared" si="19"/>
        <v>2.8499999999999943</v>
      </c>
      <c r="AO69" s="16">
        <f t="shared" si="20"/>
        <v>4.5537690827037583E-41</v>
      </c>
      <c r="AP69" s="16">
        <f t="shared" si="21"/>
        <v>4.5537690827037583E-29</v>
      </c>
      <c r="AQ69" s="16">
        <f t="shared" si="13"/>
        <v>5.6962061493353544E+16</v>
      </c>
      <c r="AR69" s="16">
        <f t="shared" si="24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2"/>
        <v>101</v>
      </c>
      <c r="G70" s="26">
        <f t="shared" si="23"/>
        <v>172.42288559999997</v>
      </c>
      <c r="H70">
        <f>(G70-(A70*'Atomic Particles'!C1))/'Atomic Particles'!C2+A70</f>
        <v>171.03789442940052</v>
      </c>
      <c r="I70" s="16">
        <f t="shared" si="14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5"/>
        <v>67.150000000000006</v>
      </c>
      <c r="AH70" s="16">
        <f t="shared" si="16"/>
        <v>167.0062673753458</v>
      </c>
      <c r="AI70" s="16">
        <f t="shared" si="17"/>
        <v>1.7143560300963059</v>
      </c>
      <c r="AM70" s="15">
        <f t="shared" si="18"/>
        <v>0</v>
      </c>
      <c r="AN70">
        <f t="shared" si="19"/>
        <v>2.8499999999999943</v>
      </c>
      <c r="AO70" s="16">
        <f t="shared" si="20"/>
        <v>4.5537690827037583E-41</v>
      </c>
      <c r="AP70" s="16">
        <f t="shared" si="21"/>
        <v>4.5537690827037583E-29</v>
      </c>
      <c r="AQ70" s="16">
        <f t="shared" si="13"/>
        <v>5.7373345256688736E+16</v>
      </c>
      <c r="AR70" s="16">
        <f t="shared" si="24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2"/>
        <v>104</v>
      </c>
      <c r="G71" s="26">
        <f t="shared" si="23"/>
        <v>176.45670518</v>
      </c>
      <c r="H71">
        <f>(G71-(A71*'Atomic Particles'!C1))/'Atomic Particles'!C2+A71</f>
        <v>175.03843435933607</v>
      </c>
      <c r="I71" s="16">
        <f t="shared" si="14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5"/>
        <v>68</v>
      </c>
      <c r="AH71" s="16">
        <f t="shared" si="16"/>
        <v>199.34493728695509</v>
      </c>
      <c r="AI71" s="16">
        <f t="shared" si="17"/>
        <v>1.4698460013038117</v>
      </c>
      <c r="AM71" s="15">
        <f t="shared" si="18"/>
        <v>0</v>
      </c>
      <c r="AN71">
        <f t="shared" si="19"/>
        <v>3</v>
      </c>
      <c r="AO71" s="16">
        <f t="shared" si="20"/>
        <v>3.904287767283114E-41</v>
      </c>
      <c r="AP71" s="16">
        <f t="shared" si="21"/>
        <v>3.9042877672831139E-29</v>
      </c>
      <c r="AQ71" s="16">
        <f t="shared" si="13"/>
        <v>6.2402921063829624E+16</v>
      </c>
      <c r="AR71" s="16">
        <f t="shared" si="24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2"/>
        <v>105</v>
      </c>
      <c r="G72" s="26">
        <f t="shared" si="23"/>
        <v>178.47319475999998</v>
      </c>
      <c r="H72">
        <f>(G72-(A72*'Atomic Particles'!C1))/'Atomic Particles'!C2+A72</f>
        <v>177.03897611191218</v>
      </c>
      <c r="I72" s="16">
        <f t="shared" si="14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5"/>
        <v>68.849999999999994</v>
      </c>
      <c r="AH72" s="16">
        <f t="shared" si="16"/>
        <v>233.40380929107133</v>
      </c>
      <c r="AI72" s="16">
        <f t="shared" si="17"/>
        <v>1.2697082399773705</v>
      </c>
      <c r="AM72" s="15">
        <f t="shared" si="18"/>
        <v>0</v>
      </c>
      <c r="AN72">
        <f t="shared" si="19"/>
        <v>3.1500000000000057</v>
      </c>
      <c r="AO72" s="16">
        <f t="shared" si="20"/>
        <v>3.3726705688656436E-41</v>
      </c>
      <c r="AP72" s="16">
        <f t="shared" si="21"/>
        <v>3.3726705688656437E-29</v>
      </c>
      <c r="AQ72" s="16">
        <f>(1 / (2 * 3.14159265358979)) * SQRT((A72 * (1.602176634E-19^2)) / ((AI72 * 1E-30) * 9.1093837015E-31 * 8.8541878128E-12))</f>
        <v>6.7612336124000112E+16</v>
      </c>
      <c r="AR72" s="16">
        <f t="shared" si="24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2"/>
        <v>107</v>
      </c>
      <c r="G73" s="26">
        <f t="shared" si="23"/>
        <v>181.49834934</v>
      </c>
      <c r="H73">
        <f>(G73-(A73*'Atomic Particles'!C1))/'Atomic Particles'!C2+A73</f>
        <v>180.03951695316803</v>
      </c>
      <c r="I73" s="16">
        <f t="shared" si="14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5"/>
        <v>69.7</v>
      </c>
      <c r="AH73" s="16">
        <f>(G73 * 1.6605E-24) / (AI73 * 1E-24)</f>
        <v>272.90895082098342</v>
      </c>
      <c r="AI73" s="16">
        <f t="shared" si="17"/>
        <v>1.1043170558255566</v>
      </c>
      <c r="AM73" s="15">
        <f t="shared" si="18"/>
        <v>0</v>
      </c>
      <c r="AN73">
        <f t="shared" si="19"/>
        <v>3.2999999999999972</v>
      </c>
      <c r="AO73" s="16">
        <f t="shared" si="20"/>
        <v>2.9333491865387859E-41</v>
      </c>
      <c r="AP73" s="16">
        <f t="shared" si="21"/>
        <v>2.9333491865387858E-29</v>
      </c>
      <c r="AQ73" s="16">
        <f>(1 / (2 * 3.14159265358979)) * SQRT((A73 * (1.602176634E-19^2)) / ((AI73 * 1E-30) * 9.1093837015E-31 * 8.8541878128E-12))</f>
        <v>7.3000561869417648E+16</v>
      </c>
      <c r="AR73" s="16">
        <f t="shared" si="24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2"/>
        <v>106</v>
      </c>
      <c r="G74" s="26">
        <f t="shared" si="23"/>
        <v>181.49750891999997</v>
      </c>
      <c r="H74">
        <f>(G74-(A74*'Atomic Particles'!C1))/'Atomic Particles'!C2+A74</f>
        <v>180.0400605283848</v>
      </c>
      <c r="I74" s="16">
        <f t="shared" si="14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5"/>
        <v>70.55</v>
      </c>
      <c r="AH74" s="16">
        <f t="shared" ref="AH74:AH101" si="25">(G74 * 1.6605E-24) / (AI74 * 1E-24)</f>
        <v>311.83957825786541</v>
      </c>
      <c r="AI74" s="16">
        <f t="shared" si="17"/>
        <v>0.96644760503250349</v>
      </c>
      <c r="AM74" s="15">
        <f t="shared" si="18"/>
        <v>0</v>
      </c>
      <c r="AN74">
        <f t="shared" si="19"/>
        <v>3.4500000000000028</v>
      </c>
      <c r="AO74" s="16">
        <f t="shared" si="20"/>
        <v>2.5671325830742865E-41</v>
      </c>
      <c r="AP74" s="16">
        <f t="shared" si="21"/>
        <v>2.5671325830742866E-29</v>
      </c>
      <c r="AQ74" s="16">
        <f t="shared" ref="AQ74:AQ93" si="26">(1 / (2 * 3.14159265358979)) * SQRT((A74 * (1.602176634E-19^2)) / ((AI74 * 1E-30) * 9.1093837015E-31 * 8.8541878128E-12))</f>
        <v>7.8566673468204912E+16</v>
      </c>
      <c r="AR74" s="16">
        <f t="shared" si="24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2"/>
        <v>110</v>
      </c>
      <c r="G75" s="26">
        <f t="shared" si="23"/>
        <v>186.53999350000001</v>
      </c>
      <c r="H75">
        <f>(G75-(A75*'Atomic Particles'!C1))/'Atomic Particles'!C2+A75</f>
        <v>185.040599547</v>
      </c>
      <c r="I75" s="16">
        <f t="shared" si="14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5"/>
        <v>71.400000000000006</v>
      </c>
      <c r="AH75" s="16">
        <f t="shared" si="25"/>
        <v>364.15203404606734</v>
      </c>
      <c r="AI75" s="16">
        <f t="shared" si="17"/>
        <v>0.85060532482859863</v>
      </c>
      <c r="AM75" s="15">
        <f t="shared" si="18"/>
        <v>0</v>
      </c>
      <c r="AN75">
        <f t="shared" si="19"/>
        <v>3.5999999999999943</v>
      </c>
      <c r="AO75" s="16">
        <f t="shared" si="20"/>
        <v>2.2594257912518124E-41</v>
      </c>
      <c r="AP75" s="16">
        <f t="shared" si="21"/>
        <v>2.2594257912518125E-29</v>
      </c>
      <c r="AQ75" s="16">
        <f t="shared" si="26"/>
        <v>8.4309836245177168E+16</v>
      </c>
      <c r="AR75" s="16">
        <f t="shared" si="24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 s="26">
        <f t="shared" si="23"/>
        <v>189.56514808</v>
      </c>
      <c r="H76">
        <f>(G76-(A76*'Atomic Particles'!C1))/'Atomic Particles'!C2+A76</f>
        <v>188.04114038825583</v>
      </c>
      <c r="I76" s="16">
        <f t="shared" si="14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5"/>
        <v>72.25</v>
      </c>
      <c r="AH76" s="16">
        <f t="shared" si="25"/>
        <v>418.26890382407629</v>
      </c>
      <c r="AI76" s="16">
        <f t="shared" si="17"/>
        <v>0.75256115266755153</v>
      </c>
      <c r="AM76" s="15">
        <f t="shared" si="18"/>
        <v>0</v>
      </c>
      <c r="AN76">
        <f t="shared" si="19"/>
        <v>3.75</v>
      </c>
      <c r="AO76" s="16">
        <f t="shared" si="20"/>
        <v>1.9989953368489542E-41</v>
      </c>
      <c r="AP76" s="16">
        <f t="shared" si="21"/>
        <v>1.9989953368489541E-29</v>
      </c>
      <c r="AQ76" s="16">
        <f t="shared" si="26"/>
        <v>9.0229294294755664E+16</v>
      </c>
      <c r="AR76" s="16">
        <f t="shared" si="24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 s="26">
        <f t="shared" si="23"/>
        <v>194.60763266000001</v>
      </c>
      <c r="H77">
        <f>(G77-(A77*'Atomic Particles'!C1))/'Atomic Particles'!C2+A77</f>
        <v>193.04167940687103</v>
      </c>
      <c r="I77" s="16">
        <f t="shared" si="14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5"/>
        <v>73.099999999999994</v>
      </c>
      <c r="AH77" s="16">
        <f t="shared" si="25"/>
        <v>483.01094422027762</v>
      </c>
      <c r="AI77" s="16">
        <f t="shared" si="17"/>
        <v>0.66902412439863679</v>
      </c>
      <c r="AM77" s="15">
        <f t="shared" si="18"/>
        <v>0</v>
      </c>
      <c r="AN77">
        <f t="shared" si="19"/>
        <v>3.9000000000000057</v>
      </c>
      <c r="AO77" s="16">
        <f t="shared" si="20"/>
        <v>1.7770995754588511E-41</v>
      </c>
      <c r="AP77" s="16">
        <f t="shared" si="21"/>
        <v>1.777099575458851E-29</v>
      </c>
      <c r="AQ77" s="16">
        <f t="shared" si="26"/>
        <v>9.6324360866026368E+16</v>
      </c>
      <c r="AR77" s="16">
        <f t="shared" si="24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2"/>
        <v>116</v>
      </c>
      <c r="G78" s="26">
        <f t="shared" si="23"/>
        <v>195.61545724000001</v>
      </c>
      <c r="H78">
        <f>(G78-(A78*'Atomic Particles'!C1))/'Atomic Particles'!C2+A78</f>
        <v>194.04222207076748</v>
      </c>
      <c r="I78" s="16">
        <f t="shared" si="14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5"/>
        <v>74.45</v>
      </c>
      <c r="AH78" s="16">
        <f t="shared" si="25"/>
        <v>366.17737649288244</v>
      </c>
      <c r="AI78" s="16">
        <f t="shared" si="17"/>
        <v>0.88705498372954161</v>
      </c>
      <c r="AM78" s="15">
        <f t="shared" si="18"/>
        <v>0</v>
      </c>
      <c r="AN78">
        <f t="shared" si="19"/>
        <v>3.5499999999999972</v>
      </c>
      <c r="AO78" s="16">
        <f t="shared" si="20"/>
        <v>2.3562454289841717E-41</v>
      </c>
      <c r="AP78" s="16">
        <f t="shared" si="21"/>
        <v>2.3562454289841716E-29</v>
      </c>
      <c r="AQ78" s="16">
        <f t="shared" si="26"/>
        <v>8.419449451079944E+16</v>
      </c>
      <c r="AR78" s="16">
        <f t="shared" si="24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2"/>
        <v>118</v>
      </c>
      <c r="G79" s="26">
        <f t="shared" si="23"/>
        <v>198.64061181999998</v>
      </c>
      <c r="H79">
        <f>(G79-(A79*'Atomic Particles'!C1))/'Atomic Particles'!C2+A79</f>
        <v>197.04276291202328</v>
      </c>
      <c r="I79" s="16">
        <f t="shared" si="14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5"/>
        <v>75.3</v>
      </c>
      <c r="AH79" s="16">
        <f t="shared" si="25"/>
        <v>420.99457252527759</v>
      </c>
      <c r="AI79" s="16">
        <f t="shared" si="17"/>
        <v>0.78348453270690421</v>
      </c>
      <c r="AM79" s="15">
        <f t="shared" si="18"/>
        <v>0</v>
      </c>
      <c r="AN79">
        <f t="shared" si="19"/>
        <v>3.7000000000000028</v>
      </c>
      <c r="AO79" s="16">
        <f t="shared" si="20"/>
        <v>2.0811357612904235E-41</v>
      </c>
      <c r="AP79" s="16">
        <f>AO79 * 10^12</f>
        <v>2.0811357612904236E-29</v>
      </c>
      <c r="AQ79" s="16">
        <f t="shared" si="26"/>
        <v>9.0159188622662608E+16</v>
      </c>
      <c r="AR79" s="16">
        <f t="shared" si="24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2"/>
        <v>116</v>
      </c>
      <c r="G80" s="26">
        <f t="shared" si="23"/>
        <v>197.63110639999999</v>
      </c>
      <c r="H80">
        <f>(G80-(A80*'Atomic Particles'!C1))/'Atomic Particles'!C2+A80</f>
        <v>196.04330739856044</v>
      </c>
      <c r="I80" s="16">
        <f t="shared" si="14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5"/>
        <v>75.650000000000006</v>
      </c>
      <c r="AH80" s="16">
        <f t="shared" si="25"/>
        <v>680.65392522840352</v>
      </c>
      <c r="AI80" s="16">
        <f t="shared" si="17"/>
        <v>0.48213407726559265</v>
      </c>
      <c r="AM80" s="15">
        <f t="shared" si="18"/>
        <v>0</v>
      </c>
      <c r="AN80">
        <f t="shared" si="19"/>
        <v>4.3499999999999943</v>
      </c>
      <c r="AO80" s="16">
        <f t="shared" si="20"/>
        <v>1.2806717019256643E-41</v>
      </c>
      <c r="AP80" s="16">
        <f t="shared" ref="AP80:AP118" si="27">AO80 * 10^12</f>
        <v>1.2806717019256643E-29</v>
      </c>
      <c r="AQ80" s="16">
        <f t="shared" si="26"/>
        <v>1.1565721805596147E+17</v>
      </c>
      <c r="AR80" s="16">
        <f t="shared" si="24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2"/>
        <v>124</v>
      </c>
      <c r="G81" s="26">
        <f t="shared" si="23"/>
        <v>206.70825098</v>
      </c>
      <c r="H81">
        <f>(G81-(A81*'Atomic Particles'!C1))/'Atomic Particles'!C2+A81</f>
        <v>205.04384277189433</v>
      </c>
      <c r="I81" s="16">
        <f t="shared" si="14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5"/>
        <v>76</v>
      </c>
      <c r="AH81" s="16">
        <f t="shared" si="25"/>
        <v>1081.1130404132016</v>
      </c>
      <c r="AI81" s="16">
        <f t="shared" si="17"/>
        <v>0.31748673628162327</v>
      </c>
      <c r="AM81" s="15">
        <f t="shared" si="18"/>
        <v>0</v>
      </c>
      <c r="AN81">
        <f t="shared" si="19"/>
        <v>5</v>
      </c>
      <c r="AO81" s="16">
        <f t="shared" si="20"/>
        <v>8.433261577331523E-42</v>
      </c>
      <c r="AP81" s="16">
        <f t="shared" si="27"/>
        <v>8.433261577331523E-30</v>
      </c>
      <c r="AQ81" s="16">
        <f t="shared" si="26"/>
        <v>1.4341394381825787E+17</v>
      </c>
      <c r="AR81" s="16">
        <f t="shared" si="24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2"/>
        <v>122</v>
      </c>
      <c r="G82" s="26">
        <f t="shared" si="23"/>
        <v>205.69874555999996</v>
      </c>
      <c r="H82">
        <f>(G82-(A82*'Atomic Particles'!C1))/'Atomic Particles'!C2+A82</f>
        <v>204.04438725843141</v>
      </c>
      <c r="I82" s="16">
        <f t="shared" si="14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5"/>
        <v>76.349999999999994</v>
      </c>
      <c r="AH82" s="16">
        <f t="shared" si="25"/>
        <v>1552.3164765606653</v>
      </c>
      <c r="AI82" s="16">
        <f t="shared" si="17"/>
        <v>0.22003423410099429</v>
      </c>
      <c r="AM82" s="15">
        <f t="shared" si="18"/>
        <v>0</v>
      </c>
      <c r="AN82">
        <f t="shared" si="19"/>
        <v>5.6500000000000057</v>
      </c>
      <c r="AO82" s="16">
        <f>4 * PI() * 8.854187817E-12 * (I82 * 0.0000000001)^3</f>
        <v>5.8446733046998508E-42</v>
      </c>
      <c r="AP82" s="16">
        <f t="shared" si="27"/>
        <v>5.844673304699851E-30</v>
      </c>
      <c r="AQ82" s="16">
        <f t="shared" si="26"/>
        <v>1.7332988977839533E+17</v>
      </c>
      <c r="AR82" s="16">
        <f t="shared" si="24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2"/>
        <v>126</v>
      </c>
      <c r="G83" s="26">
        <f t="shared" si="23"/>
        <v>210.74123014</v>
      </c>
      <c r="H83">
        <f>(G83-(A83*'Atomic Particles'!C1))/'Atomic Particles'!C2+A83</f>
        <v>209.04492627704661</v>
      </c>
      <c r="I83" s="16">
        <f t="shared" si="14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5"/>
        <v>76.7</v>
      </c>
      <c r="AH83" s="16">
        <f t="shared" si="25"/>
        <v>2204.826599557734</v>
      </c>
      <c r="AI83" s="16">
        <f t="shared" si="17"/>
        <v>0.15871352999717242</v>
      </c>
      <c r="AM83" s="15">
        <f t="shared" si="18"/>
        <v>0</v>
      </c>
      <c r="AN83">
        <f t="shared" si="19"/>
        <v>6.2999999999999972</v>
      </c>
      <c r="AO83" s="16">
        <f t="shared" ref="AO83:AO104" si="28">4 * PI() * 8.854187817E-12 * (I83 * 0.0000000001)^3</f>
        <v>4.2158382110820844E-42</v>
      </c>
      <c r="AP83" s="16">
        <f t="shared" si="27"/>
        <v>4.2158382110820841E-30</v>
      </c>
      <c r="AQ83" s="16">
        <f t="shared" si="26"/>
        <v>2.0532589912949318E+17</v>
      </c>
      <c r="AR83" s="16">
        <f t="shared" si="24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2"/>
        <v>125</v>
      </c>
      <c r="G84" s="26">
        <f t="shared" si="23"/>
        <v>210.74038972</v>
      </c>
      <c r="H84">
        <f>(G84-(A84*'Atomic Particles'!C1))/'Atomic Particles'!C2+A84</f>
        <v>209.04546985226341</v>
      </c>
      <c r="I84" s="16">
        <f t="shared" si="14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5"/>
        <v>77.05</v>
      </c>
      <c r="AH84" s="16">
        <f t="shared" si="25"/>
        <v>2960.0937992092527</v>
      </c>
      <c r="AI84" s="16">
        <f t="shared" si="17"/>
        <v>0.11821734068817014</v>
      </c>
      <c r="AM84" s="15">
        <f t="shared" si="18"/>
        <v>0</v>
      </c>
      <c r="AN84">
        <f t="shared" si="19"/>
        <v>6.9500000000000028</v>
      </c>
      <c r="AO84" s="16">
        <f t="shared" si="28"/>
        <v>3.1401556130380038E-42</v>
      </c>
      <c r="AP84" s="16">
        <f t="shared" si="27"/>
        <v>3.1401556130380039E-30</v>
      </c>
      <c r="AQ84" s="16">
        <f t="shared" si="26"/>
        <v>2.3933747936064726E+17</v>
      </c>
      <c r="AR84" s="16">
        <f t="shared" si="24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2"/>
        <v>125</v>
      </c>
      <c r="G85" s="26">
        <f t="shared" si="23"/>
        <v>211.7482143</v>
      </c>
      <c r="H85">
        <f>(G85-(A85*'Atomic Particles'!C1))/'Atomic Particles'!C2+A85</f>
        <v>210.04601251615989</v>
      </c>
      <c r="I85" s="16">
        <f t="shared" si="14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5"/>
        <v>77.400000000000006</v>
      </c>
      <c r="AH85" s="16">
        <f t="shared" si="25"/>
        <v>3889.2316734837573</v>
      </c>
      <c r="AI85" s="16">
        <f t="shared" si="17"/>
        <v>9.0405493774609547E-2</v>
      </c>
      <c r="AM85" s="15">
        <f t="shared" si="18"/>
        <v>0</v>
      </c>
      <c r="AN85">
        <f t="shared" si="19"/>
        <v>7.5999999999999943</v>
      </c>
      <c r="AO85" s="16">
        <f t="shared" si="28"/>
        <v>2.4014016647070526E-42</v>
      </c>
      <c r="AP85" s="16">
        <f t="shared" si="27"/>
        <v>2.4014016647070527E-30</v>
      </c>
      <c r="AQ85" s="16">
        <f t="shared" si="26"/>
        <v>2.7531109528497034E+17</v>
      </c>
      <c r="AR85" s="16">
        <f t="shared" si="24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2"/>
        <v>136</v>
      </c>
      <c r="G86" s="26">
        <f t="shared" si="23"/>
        <v>223.85135387999998</v>
      </c>
      <c r="H86">
        <f>(G86-(A86*'Atomic Particles'!C1))/'Atomic Particles'!C2+A86</f>
        <v>222.04654515553278</v>
      </c>
      <c r="I86" s="16">
        <f t="shared" si="14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5"/>
        <v>77.75</v>
      </c>
      <c r="AH86" s="16">
        <f t="shared" si="25"/>
        <v>5259.2625454135441</v>
      </c>
      <c r="AI86" s="16">
        <f t="shared" si="17"/>
        <v>7.0676291572835392E-2</v>
      </c>
      <c r="AM86" s="15">
        <f t="shared" si="18"/>
        <v>0</v>
      </c>
      <c r="AN86">
        <f t="shared" si="19"/>
        <v>8.25</v>
      </c>
      <c r="AO86" s="16">
        <f t="shared" si="28"/>
        <v>1.8773434793848176E-42</v>
      </c>
      <c r="AP86" s="16">
        <f t="shared" si="27"/>
        <v>1.8773434793848175E-30</v>
      </c>
      <c r="AQ86" s="16">
        <f t="shared" si="26"/>
        <v>3.1320162839594477E+17</v>
      </c>
      <c r="AR86" s="16">
        <f t="shared" si="24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2"/>
        <v>136</v>
      </c>
      <c r="G87" s="26">
        <f t="shared" si="23"/>
        <v>224.85917846000001</v>
      </c>
      <c r="H87">
        <f>(G87-(A87*'Atomic Particles'!C1))/'Atomic Particles'!C2+A87</f>
        <v>223.04708781942929</v>
      </c>
      <c r="I87" s="16">
        <f t="shared" si="14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5"/>
        <v>84.8</v>
      </c>
      <c r="AH87" s="16">
        <f t="shared" si="25"/>
        <v>100.18021112570459</v>
      </c>
      <c r="AI87" s="16">
        <f t="shared" si="17"/>
        <v>3.7270700634112286</v>
      </c>
      <c r="AM87" s="15">
        <f t="shared" si="18"/>
        <v>0</v>
      </c>
      <c r="AN87">
        <f t="shared" si="19"/>
        <v>2.2000000000000028</v>
      </c>
      <c r="AO87" s="16">
        <f t="shared" si="28"/>
        <v>9.9000535045683401E-41</v>
      </c>
      <c r="AP87" s="16">
        <f t="shared" si="27"/>
        <v>9.9000535045683399E-29</v>
      </c>
      <c r="AQ87" s="16">
        <f t="shared" si="26"/>
        <v>4.3379796511501136E+16</v>
      </c>
      <c r="AR87" s="16">
        <f t="shared" si="24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2"/>
        <v>138</v>
      </c>
      <c r="G88" s="26">
        <f t="shared" si="23"/>
        <v>227.88433303999997</v>
      </c>
      <c r="H88">
        <f>(G88-(A88*'Atomic Particles'!C1))/'Atomic Particles'!C2+A88</f>
        <v>226.04762866068509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5"/>
        <v>85.15</v>
      </c>
      <c r="AH88" s="16">
        <f t="shared" si="25"/>
        <v>220.72540847402794</v>
      </c>
      <c r="AI88" s="16">
        <f t="shared" si="17"/>
        <v>1.7143560300963059</v>
      </c>
      <c r="AM88" s="15">
        <f t="shared" si="18"/>
        <v>0</v>
      </c>
      <c r="AN88">
        <f t="shared" si="19"/>
        <v>2.8499999999999943</v>
      </c>
      <c r="AO88" s="16">
        <f t="shared" si="28"/>
        <v>4.5537690827037583E-41</v>
      </c>
      <c r="AP88" s="16">
        <f t="shared" si="27"/>
        <v>4.5537690827037583E-29</v>
      </c>
      <c r="AQ88" s="16">
        <f t="shared" si="26"/>
        <v>6.4328361401595784E+16</v>
      </c>
      <c r="AR88" s="16">
        <f t="shared" si="24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2"/>
        <v>138</v>
      </c>
      <c r="G89" s="26">
        <f>(A89 * 1.007276) + (F89 * 1.008665) + (L89 * 0.00054858)</f>
        <v>228.89215761999998</v>
      </c>
      <c r="H89">
        <f>(G89-(A89*'Atomic Particles'!C1))/'Atomic Particles'!C2+A89</f>
        <v>227.04817132458155</v>
      </c>
      <c r="I89" s="16">
        <f t="shared" ref="I89:I118" si="29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5"/>
        <v>86</v>
      </c>
      <c r="AH89" s="16">
        <f t="shared" si="25"/>
        <v>258.58180203291232</v>
      </c>
      <c r="AI89" s="16">
        <f t="shared" si="17"/>
        <v>1.4698460013038117</v>
      </c>
      <c r="AM89" s="15">
        <f t="shared" si="18"/>
        <v>0</v>
      </c>
      <c r="AN89">
        <f t="shared" si="19"/>
        <v>3</v>
      </c>
      <c r="AO89" s="16">
        <f t="shared" si="28"/>
        <v>3.904287767283114E-41</v>
      </c>
      <c r="AP89" s="16">
        <f t="shared" si="27"/>
        <v>3.9042877672831139E-29</v>
      </c>
      <c r="AQ89" s="16">
        <f t="shared" si="26"/>
        <v>6.9866783257932088E+16</v>
      </c>
      <c r="AR89" s="16">
        <f t="shared" si="24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2"/>
        <v>140</v>
      </c>
      <c r="G90" s="26">
        <f t="shared" ref="G90:G118" si="30">(A90 * 1.007276) + (F90 * 1.008665) + (L90 * 0.00054858)</f>
        <v>231.9173122</v>
      </c>
      <c r="H90">
        <f>(G90-(A90*'Atomic Particles'!C1))/'Atomic Particles'!C2+A90</f>
        <v>230.0487121658374</v>
      </c>
      <c r="I90" s="16">
        <f t="shared" si="29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5"/>
        <v>86.85</v>
      </c>
      <c r="AH90" s="16">
        <f t="shared" si="25"/>
        <v>303.29699751729066</v>
      </c>
      <c r="AI90" s="16">
        <f t="shared" si="17"/>
        <v>1.2697082399773705</v>
      </c>
      <c r="AM90" s="15">
        <f t="shared" si="18"/>
        <v>0</v>
      </c>
      <c r="AN90">
        <f t="shared" si="19"/>
        <v>3.1500000000000057</v>
      </c>
      <c r="AO90" s="16">
        <f t="shared" si="28"/>
        <v>3.3726705688656436E-41</v>
      </c>
      <c r="AP90" s="16">
        <f t="shared" si="27"/>
        <v>3.3726705688656437E-29</v>
      </c>
      <c r="AQ90" s="16">
        <f t="shared" si="26"/>
        <v>7.5592889845414448E+16</v>
      </c>
      <c r="AR90" s="16">
        <f t="shared" si="24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2"/>
        <v>140</v>
      </c>
      <c r="G91" s="26">
        <f t="shared" si="30"/>
        <v>232.92513678000003</v>
      </c>
      <c r="H91">
        <f>(G91-(A91*'Atomic Particles'!C1))/'Atomic Particles'!C2+A91</f>
        <v>231.04925482973391</v>
      </c>
      <c r="I91" s="16">
        <f t="shared" si="29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5"/>
        <v>88</v>
      </c>
      <c r="AH91" s="16">
        <f t="shared" si="25"/>
        <v>263.13789967119538</v>
      </c>
      <c r="AI91" s="16">
        <f t="shared" si="17"/>
        <v>1.4698460013038117</v>
      </c>
      <c r="AM91" s="15">
        <f t="shared" si="18"/>
        <v>0</v>
      </c>
      <c r="AN91">
        <f t="shared" si="19"/>
        <v>3</v>
      </c>
      <c r="AO91" s="16">
        <f t="shared" si="28"/>
        <v>3.904287767283114E-41</v>
      </c>
      <c r="AP91" s="16">
        <f t="shared" si="27"/>
        <v>3.9042877672831139E-29</v>
      </c>
      <c r="AQ91" s="16">
        <f t="shared" si="26"/>
        <v>7.0647441937498528E+16</v>
      </c>
      <c r="AR91" s="16">
        <f t="shared" si="24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2"/>
        <v>142</v>
      </c>
      <c r="G92" s="26">
        <f t="shared" si="30"/>
        <v>235.95029135999997</v>
      </c>
      <c r="H92">
        <f>(G92-(A92*'Atomic Particles'!C1))/'Atomic Particles'!C2+A92</f>
        <v>234.04979567098968</v>
      </c>
      <c r="I92" s="16">
        <f t="shared" si="29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5"/>
        <v>89</v>
      </c>
      <c r="AH92" s="16">
        <f t="shared" si="25"/>
        <v>266.55544761542495</v>
      </c>
      <c r="AI92" s="16">
        <f t="shared" si="17"/>
        <v>1.4698460013038117</v>
      </c>
      <c r="AM92" s="15">
        <f t="shared" si="18"/>
        <v>0</v>
      </c>
      <c r="AN92">
        <f t="shared" si="19"/>
        <v>3</v>
      </c>
      <c r="AO92" s="16">
        <f t="shared" si="28"/>
        <v>3.904287767283114E-41</v>
      </c>
      <c r="AP92" s="16">
        <f t="shared" si="27"/>
        <v>3.9042877672831139E-29</v>
      </c>
      <c r="AQ92" s="16">
        <f t="shared" si="26"/>
        <v>7.103455410617364E+16</v>
      </c>
      <c r="AR92" s="16">
        <f t="shared" si="24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2"/>
        <v>132</v>
      </c>
      <c r="G93" s="26">
        <f t="shared" si="30"/>
        <v>226.87146594000001</v>
      </c>
      <c r="H93">
        <f>(G93-(A93*'Atomic Particles'!C1))/'Atomic Particles'!C2+A93</f>
        <v>225.05034744808944</v>
      </c>
      <c r="I93" s="16">
        <f t="shared" si="29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5"/>
        <v>89.15</v>
      </c>
      <c r="AH93" s="16">
        <f t="shared" si="25"/>
        <v>541.70812098587476</v>
      </c>
      <c r="AI93" s="16">
        <f t="shared" si="17"/>
        <v>0.69542998267731937</v>
      </c>
      <c r="AM93" s="15">
        <f t="shared" si="18"/>
        <v>0</v>
      </c>
      <c r="AN93">
        <f t="shared" si="19"/>
        <v>3.8499999999999943</v>
      </c>
      <c r="AO93" s="16">
        <f t="shared" si="28"/>
        <v>1.8472403040594133E-41</v>
      </c>
      <c r="AP93" s="16">
        <f t="shared" si="27"/>
        <v>1.8472403040594134E-29</v>
      </c>
      <c r="AQ93" s="16">
        <f t="shared" si="26"/>
        <v>1.0383085529152547E+17</v>
      </c>
      <c r="AR93" s="16">
        <f t="shared" si="24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2"/>
        <v>134</v>
      </c>
      <c r="G94" s="26">
        <f t="shared" si="30"/>
        <v>229.89662052</v>
      </c>
      <c r="H94">
        <f>(G94-(A94*'Atomic Particles'!C1))/'Atomic Particles'!C2+A94</f>
        <v>228.05088828934524</v>
      </c>
      <c r="I94" s="16">
        <f t="shared" si="29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5"/>
        <v>91.15</v>
      </c>
      <c r="AH94" s="16">
        <f t="shared" si="25"/>
        <v>222.67448048817212</v>
      </c>
      <c r="AI94" s="16">
        <f t="shared" si="17"/>
        <v>1.7143560300963059</v>
      </c>
      <c r="AM94" s="15">
        <f t="shared" si="18"/>
        <v>0</v>
      </c>
      <c r="AN94">
        <f t="shared" si="19"/>
        <v>2.8499999999999943</v>
      </c>
      <c r="AO94" s="16">
        <f t="shared" si="28"/>
        <v>4.5537690827037583E-41</v>
      </c>
      <c r="AP94" s="16">
        <f t="shared" si="27"/>
        <v>4.5537690827037583E-29</v>
      </c>
      <c r="AQ94" s="16">
        <f>(1 / (2 * 3.14159265358979)) * SQRT((A94 * (1.602176634E-19^2)) / ((AI94 * 1E-30) * 9.1093837015E-31 * 8.8541878128E-12))</f>
        <v>6.6485215340239536E+16</v>
      </c>
      <c r="AR94" s="16">
        <f t="shared" si="24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2"/>
        <v>136</v>
      </c>
      <c r="G95" s="26">
        <f t="shared" si="30"/>
        <v>232.92177510000002</v>
      </c>
      <c r="H95">
        <f>(G95-(A95*'Atomic Particles'!C1))/'Atomic Particles'!C2+A95</f>
        <v>231.05142913060109</v>
      </c>
      <c r="I95" s="16">
        <f t="shared" si="29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5"/>
        <v>92.15</v>
      </c>
      <c r="AH95" s="16">
        <f t="shared" si="25"/>
        <v>225.60460065685601</v>
      </c>
      <c r="AI95" s="16">
        <f t="shared" si="17"/>
        <v>1.7143560300963059</v>
      </c>
      <c r="AM95" s="15">
        <f t="shared" si="18"/>
        <v>0</v>
      </c>
      <c r="AN95">
        <f t="shared" si="19"/>
        <v>2.8499999999999943</v>
      </c>
      <c r="AO95" s="16">
        <f t="shared" si="28"/>
        <v>4.5537690827037583E-41</v>
      </c>
      <c r="AP95" s="16">
        <f t="shared" si="27"/>
        <v>4.5537690827037583E-29</v>
      </c>
      <c r="AQ95" s="16">
        <f>(1 / (2 * 3.14159265358979)) * SQRT((A95 * (1.602176634E-19^2)) / ((AI95 * 1E-30) * 9.1093837015E-31 * 8.8541878128E-12))</f>
        <v>6.6837924527985152E+16</v>
      </c>
      <c r="AR95" s="16">
        <f t="shared" si="24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2"/>
        <v>136</v>
      </c>
      <c r="G96" s="26">
        <f t="shared" si="30"/>
        <v>233.92959968</v>
      </c>
      <c r="H96">
        <f>(G96-(A96*'Atomic Particles'!C1))/'Atomic Particles'!C2+A96</f>
        <v>232.05197179449755</v>
      </c>
      <c r="I96" s="16">
        <f t="shared" si="29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5"/>
        <v>93</v>
      </c>
      <c r="AH96" s="16">
        <f t="shared" si="25"/>
        <v>264.27265164110952</v>
      </c>
      <c r="AI96" s="16">
        <f t="shared" si="17"/>
        <v>1.4698460013038117</v>
      </c>
      <c r="AM96" s="15">
        <f t="shared" si="18"/>
        <v>0</v>
      </c>
      <c r="AN96">
        <f t="shared" si="19"/>
        <v>3</v>
      </c>
      <c r="AO96" s="16">
        <f t="shared" si="28"/>
        <v>3.904287767283114E-41</v>
      </c>
      <c r="AP96" s="16">
        <f t="shared" si="27"/>
        <v>3.9042877672831139E-29</v>
      </c>
      <c r="AQ96" s="16">
        <f t="shared" ref="AQ96:AQ118" si="31">(1 / (2 * 3.14159265358979)) * SQRT((A96 * (1.602176634E-19^2)) / ((AI96 * 1E-30) * 9.1093837015E-31 * 8.8541878128E-12))</f>
        <v>7.2562353710899184E+16</v>
      </c>
      <c r="AR96" s="16">
        <f t="shared" si="24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2"/>
        <v>137</v>
      </c>
      <c r="G97" s="26">
        <f t="shared" si="30"/>
        <v>235.94608926000001</v>
      </c>
      <c r="H97">
        <f>(G97-(A97*'Atomic Particles'!C1))/'Atomic Particles'!C2+A97</f>
        <v>234.05251354707372</v>
      </c>
      <c r="I97" s="16">
        <f t="shared" si="29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5"/>
        <v>94.15</v>
      </c>
      <c r="AH97" s="16">
        <f t="shared" si="25"/>
        <v>228.53390680710643</v>
      </c>
      <c r="AI97" s="16">
        <f t="shared" si="17"/>
        <v>1.7143560300963059</v>
      </c>
      <c r="AM97" s="15">
        <f t="shared" si="18"/>
        <v>0</v>
      </c>
      <c r="AN97">
        <f t="shared" si="19"/>
        <v>2.8499999999999943</v>
      </c>
      <c r="AO97" s="16">
        <f t="shared" si="28"/>
        <v>4.5537690827037583E-41</v>
      </c>
      <c r="AP97" s="16">
        <f t="shared" si="27"/>
        <v>4.5537690827037583E-29</v>
      </c>
      <c r="AQ97" s="16">
        <f t="shared" si="31"/>
        <v>6.7537817168974848E+16</v>
      </c>
      <c r="AR97" s="16">
        <f t="shared" si="24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2"/>
        <v>139</v>
      </c>
      <c r="G98" s="26">
        <f t="shared" si="30"/>
        <v>238.97124384</v>
      </c>
      <c r="H98">
        <f>(G98-(A98*'Atomic Particles'!C1))/'Atomic Particles'!C2+A98</f>
        <v>237.05305438832954</v>
      </c>
      <c r="I98" s="16">
        <f t="shared" si="29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5"/>
        <v>95.15</v>
      </c>
      <c r="AH98" s="16">
        <f t="shared" si="25"/>
        <v>231.46402697579029</v>
      </c>
      <c r="AI98" s="16">
        <f t="shared" si="17"/>
        <v>1.7143560300963059</v>
      </c>
      <c r="AM98" s="15">
        <f t="shared" si="18"/>
        <v>0</v>
      </c>
      <c r="AN98">
        <f t="shared" si="19"/>
        <v>2.8499999999999943</v>
      </c>
      <c r="AO98" s="16">
        <f t="shared" si="28"/>
        <v>4.5537690827037583E-41</v>
      </c>
      <c r="AP98" s="16">
        <f t="shared" si="27"/>
        <v>4.5537690827037583E-29</v>
      </c>
      <c r="AQ98" s="16">
        <f t="shared" si="31"/>
        <v>6.7885057592378096E+16</v>
      </c>
      <c r="AR98" s="16">
        <f t="shared" si="24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2"/>
        <v>141</v>
      </c>
      <c r="G99" s="26">
        <f t="shared" si="30"/>
        <v>241.99639841999999</v>
      </c>
      <c r="H99">
        <f>(G99-(A99*'Atomic Particles'!C1))/'Atomic Particles'!C2+A99</f>
        <v>240.05359522958537</v>
      </c>
      <c r="I99" s="16">
        <f t="shared" si="29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5"/>
        <v>96.15</v>
      </c>
      <c r="AH99" s="16">
        <f t="shared" si="25"/>
        <v>234.39414714447415</v>
      </c>
      <c r="AI99" s="16">
        <f t="shared" si="17"/>
        <v>1.7143560300963059</v>
      </c>
      <c r="AM99" s="15">
        <f t="shared" si="18"/>
        <v>0</v>
      </c>
      <c r="AN99">
        <f t="shared" si="19"/>
        <v>2.8499999999999943</v>
      </c>
      <c r="AO99" s="16">
        <f t="shared" si="28"/>
        <v>4.5537690827037583E-41</v>
      </c>
      <c r="AP99" s="16">
        <f t="shared" si="27"/>
        <v>4.5537690827037583E-29</v>
      </c>
      <c r="AQ99" s="16">
        <f t="shared" si="31"/>
        <v>6.8230530854531016E+16</v>
      </c>
      <c r="AR99" s="16">
        <f t="shared" si="24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2"/>
        <v>141</v>
      </c>
      <c r="G100" s="26">
        <f t="shared" si="30"/>
        <v>243.004223</v>
      </c>
      <c r="H100">
        <f>(G100-(A100*'Atomic Particles'!C1))/'Atomic Particles'!C2+A100</f>
        <v>241.05413789348182</v>
      </c>
      <c r="I100" s="16">
        <f t="shared" si="29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5"/>
        <v>97.15</v>
      </c>
      <c r="AH100" s="16">
        <f t="shared" si="25"/>
        <v>235.37031118841315</v>
      </c>
      <c r="AI100" s="16">
        <f t="shared" si="17"/>
        <v>1.7143560300963059</v>
      </c>
      <c r="AM100" s="15">
        <f t="shared" si="18"/>
        <v>0</v>
      </c>
      <c r="AN100">
        <f t="shared" si="19"/>
        <v>2.8499999999999943</v>
      </c>
      <c r="AO100" s="16">
        <f t="shared" si="28"/>
        <v>4.5537690827037583E-41</v>
      </c>
      <c r="AP100" s="16">
        <f t="shared" si="27"/>
        <v>4.5537690827037583E-29</v>
      </c>
      <c r="AQ100" s="16">
        <f t="shared" si="31"/>
        <v>6.8574263664014112E+16</v>
      </c>
      <c r="AR100" s="16">
        <f t="shared" si="24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2"/>
        <v>145</v>
      </c>
      <c r="G101" s="26">
        <f t="shared" si="30"/>
        <v>248.04670757999997</v>
      </c>
      <c r="H101">
        <f>(G101-(A101*'Atomic Particles'!C1))/'Atomic Particles'!C2+A101</f>
        <v>246.05467691209702</v>
      </c>
      <c r="I101" s="16">
        <f t="shared" si="29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5"/>
        <v>98.15</v>
      </c>
      <c r="AH101" s="16">
        <f t="shared" si="25"/>
        <v>240.25438748184189</v>
      </c>
      <c r="AI101" s="16">
        <f>(4/3) * PI() * (I101^3)</f>
        <v>1.7143560300963059</v>
      </c>
      <c r="AM101" s="15">
        <f t="shared" si="18"/>
        <v>0</v>
      </c>
      <c r="AN101">
        <f t="shared" si="19"/>
        <v>2.8499999999999943</v>
      </c>
      <c r="AO101" s="16">
        <f t="shared" si="28"/>
        <v>4.5537690827037583E-41</v>
      </c>
      <c r="AP101" s="16">
        <f t="shared" si="27"/>
        <v>4.5537690827037583E-29</v>
      </c>
      <c r="AQ101" s="16">
        <f t="shared" si="31"/>
        <v>6.8916282063329152E+16</v>
      </c>
      <c r="AR101" s="16">
        <f t="shared" si="24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2"/>
        <v>148</v>
      </c>
      <c r="G102" s="26">
        <f t="shared" si="30"/>
        <v>252.08052716</v>
      </c>
      <c r="H102">
        <f>(G102-(A102*'Atomic Particles'!C1))/'Atomic Particles'!C2+A102</f>
        <v>250.05521684203254</v>
      </c>
      <c r="I102" s="16">
        <f t="shared" si="29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5"/>
        <v>99.15</v>
      </c>
      <c r="AH102" s="16">
        <f>(G102 * 1.6605E-24) / (AI102 * 1E-24)</f>
        <v>244.16148571289821</v>
      </c>
      <c r="AI102" s="16">
        <f t="shared" ref="AI102:AI118" si="32">(4/3) * PI() * (I102^3)</f>
        <v>1.7143560300963059</v>
      </c>
      <c r="AM102" s="15">
        <f t="shared" si="18"/>
        <v>0</v>
      </c>
      <c r="AN102">
        <f t="shared" si="19"/>
        <v>2.8499999999999943</v>
      </c>
      <c r="AO102" s="16">
        <f t="shared" si="28"/>
        <v>4.5537690827037583E-41</v>
      </c>
      <c r="AP102" s="16">
        <f t="shared" si="27"/>
        <v>4.5537690827037583E-29</v>
      </c>
      <c r="AQ102" s="16">
        <f t="shared" si="31"/>
        <v>6.9256611451925368E+16</v>
      </c>
      <c r="AR102" s="16">
        <f t="shared" si="24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2"/>
        <v>149</v>
      </c>
      <c r="G103" s="26">
        <f t="shared" si="30"/>
        <v>254.09701673999999</v>
      </c>
      <c r="H103">
        <f>(G103-(A103*'Atomic Particles'!C1))/'Atomic Particles'!C2+A103</f>
        <v>252.05575859460865</v>
      </c>
      <c r="I103" s="16">
        <f t="shared" si="29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5"/>
        <v>99.5</v>
      </c>
      <c r="AH103" s="16">
        <f t="shared" ref="AH103:AH118" si="33">(G103 * 1.6605E-24) / (AI103 * 1E-24)</f>
        <v>455.83427744023487</v>
      </c>
      <c r="AI103" s="16">
        <f t="shared" si="32"/>
        <v>0.92561730694350797</v>
      </c>
      <c r="AM103" s="15">
        <f t="shared" si="18"/>
        <v>0</v>
      </c>
      <c r="AN103">
        <f t="shared" si="19"/>
        <v>3.5</v>
      </c>
      <c r="AO103" s="16">
        <f t="shared" si="28"/>
        <v>2.4586768447030683E-41</v>
      </c>
      <c r="AP103" s="16">
        <f t="shared" si="27"/>
        <v>2.4586768447030684E-29</v>
      </c>
      <c r="AQ103" s="16">
        <f t="shared" si="31"/>
        <v>9.4714079275687648E+16</v>
      </c>
      <c r="AR103" s="16">
        <f t="shared" si="24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2"/>
        <v>151</v>
      </c>
      <c r="G104" s="26">
        <f t="shared" si="30"/>
        <v>257.12217132000001</v>
      </c>
      <c r="H104">
        <f>(G104-(A104*'Atomic Particles'!C1))/'Atomic Particles'!C2+A104</f>
        <v>255.0562994358645</v>
      </c>
      <c r="I104" s="16">
        <f t="shared" si="29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5"/>
        <v>100.85</v>
      </c>
      <c r="AH104" s="16">
        <f t="shared" si="33"/>
        <v>336.25942719287178</v>
      </c>
      <c r="AI104" s="16">
        <f t="shared" si="32"/>
        <v>1.2697082399773705</v>
      </c>
      <c r="AM104" s="15">
        <f t="shared" si="18"/>
        <v>0</v>
      </c>
      <c r="AN104">
        <f t="shared" si="19"/>
        <v>3.1500000000000057</v>
      </c>
      <c r="AO104" s="16">
        <f t="shared" si="28"/>
        <v>3.3726705688656436E-41</v>
      </c>
      <c r="AP104" s="16">
        <f t="shared" si="27"/>
        <v>3.3726705688656437E-29</v>
      </c>
      <c r="AQ104" s="16">
        <f t="shared" si="31"/>
        <v>8.1259914916329504E+16</v>
      </c>
      <c r="AR104" s="16">
        <f t="shared" si="24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2"/>
        <v>152</v>
      </c>
      <c r="G105" s="26">
        <f t="shared" si="30"/>
        <v>259.13866089999999</v>
      </c>
      <c r="H105">
        <f>(G105-(A105*'Atomic Particles'!C1))/'Atomic Particles'!C2+A105</f>
        <v>257.05684118844061</v>
      </c>
      <c r="I105" s="16">
        <f t="shared" si="29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5"/>
        <v>101.7</v>
      </c>
      <c r="AH105" s="16">
        <f t="shared" si="33"/>
        <v>389.65235948725797</v>
      </c>
      <c r="AI105" s="16">
        <f t="shared" si="32"/>
        <v>1.1043170558255566</v>
      </c>
      <c r="AM105" s="15">
        <f t="shared" si="18"/>
        <v>0</v>
      </c>
      <c r="AN105">
        <f t="shared" si="19"/>
        <v>3.2999999999999972</v>
      </c>
      <c r="AO105" s="16">
        <f>4 * PI() * 8.854187817E-12 * (I105 * 0.0000000001)^3</f>
        <v>2.9333491865387859E-41</v>
      </c>
      <c r="AP105" s="16">
        <f t="shared" si="27"/>
        <v>2.9333491865387858E-29</v>
      </c>
      <c r="AQ105" s="16">
        <f t="shared" si="31"/>
        <v>8.7550659580792384E+16</v>
      </c>
      <c r="AR105" s="16">
        <f t="shared" si="24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2"/>
        <v>156</v>
      </c>
      <c r="G106" s="26">
        <f t="shared" si="30"/>
        <v>264.18114548</v>
      </c>
      <c r="H106">
        <f>(G106-(A106*'Atomic Particles'!C1))/'Atomic Particles'!C2+A106</f>
        <v>262.05738020705587</v>
      </c>
      <c r="I106" s="16">
        <f t="shared" si="29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5"/>
        <v>102.55</v>
      </c>
      <c r="AH106" s="16">
        <f t="shared" si="33"/>
        <v>453.90230136147596</v>
      </c>
      <c r="AI106" s="16">
        <f t="shared" si="32"/>
        <v>0.96644760503250349</v>
      </c>
      <c r="AM106" s="15">
        <f t="shared" si="18"/>
        <v>0</v>
      </c>
      <c r="AN106">
        <f t="shared" si="19"/>
        <v>3.4500000000000028</v>
      </c>
      <c r="AO106" s="16">
        <f t="shared" ref="AO106:AO118" si="34">4 * PI() * 8.854187817E-12 * (I106 * 0.0000000001)^3</f>
        <v>2.5671325830742865E-41</v>
      </c>
      <c r="AP106" s="16">
        <f t="shared" si="27"/>
        <v>2.5671325830742866E-29</v>
      </c>
      <c r="AQ106" s="16">
        <f t="shared" si="31"/>
        <v>9.403194907490656E+16</v>
      </c>
      <c r="AR106" s="16">
        <f t="shared" si="24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2"/>
        <v>156</v>
      </c>
      <c r="G107" s="26">
        <f t="shared" si="30"/>
        <v>265.18897005999997</v>
      </c>
      <c r="H107">
        <f>(G107-(A107*'Atomic Particles'!C1))/'Atomic Particles'!C2+A107</f>
        <v>263.05792287095227</v>
      </c>
      <c r="I107" s="16">
        <f t="shared" si="29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5"/>
        <v>103.4</v>
      </c>
      <c r="AH107" s="16">
        <f t="shared" si="33"/>
        <v>517.68578438344719</v>
      </c>
      <c r="AI107" s="16">
        <f t="shared" si="32"/>
        <v>0.85060532482859863</v>
      </c>
      <c r="AM107" s="15">
        <f t="shared" si="18"/>
        <v>0</v>
      </c>
      <c r="AN107">
        <f t="shared" si="19"/>
        <v>3.5999999999999943</v>
      </c>
      <c r="AO107" s="16">
        <f t="shared" si="34"/>
        <v>2.2594257912518124E-41</v>
      </c>
      <c r="AP107" s="16">
        <f t="shared" si="27"/>
        <v>2.2594257912518125E-29</v>
      </c>
      <c r="AQ107" s="16">
        <f t="shared" si="31"/>
        <v>1.0070232623481141E+17</v>
      </c>
      <c r="AR107" s="16">
        <f t="shared" si="24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2"/>
        <v>156</v>
      </c>
      <c r="G108" s="26">
        <f t="shared" si="30"/>
        <v>266.19679464000001</v>
      </c>
      <c r="H108">
        <f>(G108-(A108*'Atomic Particles'!C1))/'Atomic Particles'!C2+A108</f>
        <v>264.05846553484878</v>
      </c>
      <c r="I108" s="16">
        <f t="shared" si="29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5"/>
        <v>104.25</v>
      </c>
      <c r="AH108" s="16">
        <f t="shared" si="33"/>
        <v>587.35396576467326</v>
      </c>
      <c r="AI108" s="16">
        <f t="shared" si="32"/>
        <v>0.75256115266755153</v>
      </c>
      <c r="AM108" s="15">
        <f t="shared" si="18"/>
        <v>0</v>
      </c>
      <c r="AN108">
        <f t="shared" si="19"/>
        <v>3.75</v>
      </c>
      <c r="AO108" s="16">
        <f t="shared" si="34"/>
        <v>1.9989953368489542E-41</v>
      </c>
      <c r="AP108" s="16">
        <f t="shared" si="27"/>
        <v>1.9989953368489541E-29</v>
      </c>
      <c r="AQ108" s="16">
        <f t="shared" si="31"/>
        <v>1.0756045786369339E+17</v>
      </c>
      <c r="AR108" s="16">
        <f t="shared" si="24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2"/>
        <v>163</v>
      </c>
      <c r="G109" s="26">
        <f t="shared" si="30"/>
        <v>274.26527421999998</v>
      </c>
      <c r="H109">
        <f>(G109-(A109*'Atomic Particles'!C1))/'Atomic Particles'!C2+A109</f>
        <v>272.05900181950301</v>
      </c>
      <c r="I109" s="16">
        <f t="shared" si="29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5"/>
        <v>105.1</v>
      </c>
      <c r="AH109" s="16">
        <f t="shared" si="33"/>
        <v>680.71908206848207</v>
      </c>
      <c r="AI109" s="16">
        <f t="shared" si="32"/>
        <v>0.66902412439863679</v>
      </c>
      <c r="AM109" s="15">
        <f t="shared" si="18"/>
        <v>0</v>
      </c>
      <c r="AN109">
        <f t="shared" si="19"/>
        <v>3.9000000000000057</v>
      </c>
      <c r="AO109" s="16">
        <f t="shared" si="34"/>
        <v>1.7770995754588511E-41</v>
      </c>
      <c r="AP109" s="16">
        <f t="shared" si="27"/>
        <v>1.777099575458851E-29</v>
      </c>
      <c r="AQ109" s="16">
        <f t="shared" si="31"/>
        <v>1.1460512058158902E+17</v>
      </c>
      <c r="AR109" s="16">
        <f t="shared" si="24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2"/>
        <v>160</v>
      </c>
      <c r="G110" s="26">
        <f t="shared" si="30"/>
        <v>272.24710379999999</v>
      </c>
      <c r="H110">
        <f>(G110-(A110*'Atomic Particles'!C1))/'Atomic Particles'!C2+A110</f>
        <v>270.05954721736043</v>
      </c>
      <c r="I110" s="16">
        <f t="shared" si="29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5"/>
        <v>105.95</v>
      </c>
      <c r="AH110" s="16">
        <f t="shared" si="33"/>
        <v>756.71373796791443</v>
      </c>
      <c r="AI110" s="16">
        <f t="shared" si="32"/>
        <v>0.59740730632680572</v>
      </c>
      <c r="AM110" s="15">
        <f t="shared" si="18"/>
        <v>0</v>
      </c>
      <c r="AN110">
        <f>A110-AG110</f>
        <v>4.0499999999999972</v>
      </c>
      <c r="AO110" s="16">
        <f t="shared" si="34"/>
        <v>1.5868669480396775E-41</v>
      </c>
      <c r="AP110" s="16">
        <f t="shared" si="27"/>
        <v>1.5868669480396775E-29</v>
      </c>
      <c r="AQ110" s="16">
        <f t="shared" si="31"/>
        <v>1.2183518871432824E+17</v>
      </c>
      <c r="AR110" s="16">
        <f t="shared" si="24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2"/>
        <v>167</v>
      </c>
      <c r="G111" s="26">
        <f t="shared" si="30"/>
        <v>280.31558337999996</v>
      </c>
      <c r="H111">
        <f>(G111-(A111*'Atomic Particles'!C1))/'Atomic Particles'!C2+A111</f>
        <v>278.06008350201461</v>
      </c>
      <c r="I111" s="16">
        <f t="shared" si="29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5"/>
        <v>106.8</v>
      </c>
      <c r="AH111" s="16">
        <f t="shared" si="33"/>
        <v>868.95721508694021</v>
      </c>
      <c r="AI111" s="16">
        <f t="shared" si="32"/>
        <v>0.53565816374045505</v>
      </c>
      <c r="AM111" s="15">
        <f t="shared" si="18"/>
        <v>0</v>
      </c>
      <c r="AN111">
        <f t="shared" ref="AN111:AN118" si="35">A111-AG111</f>
        <v>4.2000000000000028</v>
      </c>
      <c r="AO111" s="16">
        <f t="shared" si="34"/>
        <v>1.4228453962401985E-41</v>
      </c>
      <c r="AP111" s="16">
        <f t="shared" si="27"/>
        <v>1.4228453962401984E-29</v>
      </c>
      <c r="AQ111" s="16">
        <f t="shared" si="31"/>
        <v>1.2924962386739202E+17</v>
      </c>
      <c r="AR111" s="16">
        <f t="shared" si="24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2"/>
        <v>167</v>
      </c>
      <c r="G112" s="26">
        <f t="shared" si="30"/>
        <v>281.32340796</v>
      </c>
      <c r="H112">
        <f>(G112-(A112*'Atomic Particles'!C1))/'Atomic Particles'!C2+A112</f>
        <v>279.06062616591112</v>
      </c>
      <c r="I112" s="16">
        <f t="shared" si="29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5"/>
        <v>107.65</v>
      </c>
      <c r="AH112" s="16">
        <f t="shared" si="33"/>
        <v>968.89546071278551</v>
      </c>
      <c r="AI112" s="16">
        <f t="shared" si="32"/>
        <v>0.48213407726559265</v>
      </c>
      <c r="AM112" s="15">
        <f t="shared" si="18"/>
        <v>0</v>
      </c>
      <c r="AN112">
        <f t="shared" si="35"/>
        <v>4.3499999999999943</v>
      </c>
      <c r="AO112" s="16">
        <f t="shared" si="34"/>
        <v>1.2806717019256643E-41</v>
      </c>
      <c r="AP112" s="16">
        <f t="shared" si="27"/>
        <v>1.2806717019256643E-29</v>
      </c>
      <c r="AQ112" s="16">
        <f t="shared" si="31"/>
        <v>1.368474659020835E+17</v>
      </c>
      <c r="AR112" s="16">
        <f t="shared" si="24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2"/>
        <v>169</v>
      </c>
      <c r="G113" s="26">
        <f t="shared" si="30"/>
        <v>284.34856253999999</v>
      </c>
      <c r="H113">
        <f>(G113-(A113*'Atomic Particles'!C1))/'Atomic Particles'!C2+A113</f>
        <v>282.06116700716694</v>
      </c>
      <c r="I113" s="16">
        <f t="shared" si="29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5"/>
        <v>108</v>
      </c>
      <c r="AH113" s="16">
        <f t="shared" si="33"/>
        <v>1487.1827202218765</v>
      </c>
      <c r="AI113" s="16">
        <f t="shared" si="32"/>
        <v>0.31748673628162327</v>
      </c>
      <c r="AM113" s="15">
        <f t="shared" si="18"/>
        <v>0</v>
      </c>
      <c r="AN113">
        <f t="shared" si="35"/>
        <v>5</v>
      </c>
      <c r="AO113" s="16">
        <f t="shared" si="34"/>
        <v>8.433261577331523E-42</v>
      </c>
      <c r="AP113" s="16">
        <f t="shared" si="27"/>
        <v>8.433261577331523E-30</v>
      </c>
      <c r="AQ113" s="16">
        <f t="shared" si="31"/>
        <v>1.6939012604082403E+17</v>
      </c>
      <c r="AR113" s="16">
        <f t="shared" si="24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2"/>
        <v>171</v>
      </c>
      <c r="G114" s="26">
        <f t="shared" si="30"/>
        <v>287.37371711999998</v>
      </c>
      <c r="H114">
        <f>(G114-(A114*'Atomic Particles'!C1))/'Atomic Particles'!C2+A114</f>
        <v>285.06170784842277</v>
      </c>
      <c r="I114" s="16">
        <f t="shared" si="29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5"/>
        <v>108.35</v>
      </c>
      <c r="AH114" s="16">
        <f t="shared" si="33"/>
        <v>2168.6809747011262</v>
      </c>
      <c r="AI114" s="16">
        <f t="shared" si="32"/>
        <v>0.22003423410099429</v>
      </c>
      <c r="AM114" s="15">
        <f t="shared" si="18"/>
        <v>0</v>
      </c>
      <c r="AN114">
        <f t="shared" si="35"/>
        <v>5.6500000000000057</v>
      </c>
      <c r="AO114" s="16">
        <f t="shared" si="34"/>
        <v>5.8446733046998508E-42</v>
      </c>
      <c r="AP114" s="16">
        <f t="shared" si="27"/>
        <v>5.844673304699851E-30</v>
      </c>
      <c r="AQ114" s="16">
        <f t="shared" si="31"/>
        <v>2.0437085428710403E+17</v>
      </c>
      <c r="AR114" s="16">
        <f t="shared" si="24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2"/>
        <v>175</v>
      </c>
      <c r="G115" s="26">
        <f t="shared" si="30"/>
        <v>292.41620169999999</v>
      </c>
      <c r="H115">
        <f>(G115-(A115*'Atomic Particles'!C1))/'Atomic Particles'!C2+A115</f>
        <v>290.06224686703797</v>
      </c>
      <c r="I115" s="16">
        <f t="shared" si="29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5"/>
        <v>108.7</v>
      </c>
      <c r="AH115" s="16">
        <f t="shared" si="33"/>
        <v>3059.3302469644555</v>
      </c>
      <c r="AI115" s="16">
        <f t="shared" si="32"/>
        <v>0.15871352999717242</v>
      </c>
      <c r="AM115" s="15">
        <f t="shared" si="18"/>
        <v>0</v>
      </c>
      <c r="AN115">
        <f t="shared" si="35"/>
        <v>6.2999999999999972</v>
      </c>
      <c r="AO115" s="16">
        <f t="shared" si="34"/>
        <v>4.2158382110820844E-42</v>
      </c>
      <c r="AP115" s="16">
        <f t="shared" si="27"/>
        <v>4.2158382110820841E-30</v>
      </c>
      <c r="AQ115" s="16">
        <f t="shared" si="31"/>
        <v>2.4168717603929552E+17</v>
      </c>
      <c r="AR115" s="16">
        <f t="shared" si="24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2"/>
        <v>175</v>
      </c>
      <c r="G116" s="26">
        <f t="shared" si="30"/>
        <v>293.42402628000002</v>
      </c>
      <c r="H116">
        <f>(G116-(A116*'Atomic Particles'!C1))/'Atomic Particles'!C2+A116</f>
        <v>291.06278953093442</v>
      </c>
      <c r="I116" s="16">
        <f t="shared" si="29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5"/>
        <v>109.05</v>
      </c>
      <c r="AH116" s="16">
        <f t="shared" si="33"/>
        <v>4121.4816100722583</v>
      </c>
      <c r="AI116" s="16">
        <f t="shared" si="32"/>
        <v>0.11821734068817014</v>
      </c>
      <c r="AM116" s="15">
        <f t="shared" si="18"/>
        <v>0</v>
      </c>
      <c r="AN116">
        <f t="shared" si="35"/>
        <v>6.9500000000000028</v>
      </c>
      <c r="AO116" s="16">
        <f t="shared" si="34"/>
        <v>3.1401556130380038E-42</v>
      </c>
      <c r="AP116" s="16">
        <f t="shared" si="27"/>
        <v>3.1401556130380039E-30</v>
      </c>
      <c r="AQ116" s="16">
        <f t="shared" si="31"/>
        <v>2.8125487862643123E+17</v>
      </c>
      <c r="AR116" s="16">
        <f t="shared" si="24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2"/>
        <v>176</v>
      </c>
      <c r="G117" s="26">
        <f t="shared" si="30"/>
        <v>295.44051586</v>
      </c>
      <c r="H117">
        <f>(G117-(A117*'Atomic Particles'!C1))/'Atomic Particles'!C2+A117</f>
        <v>293.06333128351059</v>
      </c>
      <c r="I117" s="16">
        <f t="shared" si="29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5"/>
        <v>109.4</v>
      </c>
      <c r="AH117" s="16">
        <f t="shared" si="33"/>
        <v>5426.4288164676727</v>
      </c>
      <c r="AI117" s="16">
        <f t="shared" si="32"/>
        <v>9.0405493774609547E-2</v>
      </c>
      <c r="AM117" s="15">
        <f t="shared" si="18"/>
        <v>0</v>
      </c>
      <c r="AN117">
        <f t="shared" si="35"/>
        <v>7.5999999999999943</v>
      </c>
      <c r="AO117" s="16">
        <f t="shared" si="34"/>
        <v>2.4014016647070526E-42</v>
      </c>
      <c r="AP117" s="16">
        <f t="shared" si="27"/>
        <v>2.4014016647070527E-30</v>
      </c>
      <c r="AQ117" s="16">
        <f t="shared" si="31"/>
        <v>3.2300346574138054E+17</v>
      </c>
      <c r="AR117" s="16">
        <f t="shared" si="24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2"/>
        <v>176</v>
      </c>
      <c r="G118" s="26">
        <f t="shared" si="30"/>
        <v>296.44834043999998</v>
      </c>
      <c r="H118">
        <f>(G118-(A118*'Atomic Particles'!C1))/'Atomic Particles'!C2+A118</f>
        <v>294.06387394740705</v>
      </c>
      <c r="I118" s="16">
        <f t="shared" si="29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5"/>
        <v>109.75</v>
      </c>
      <c r="AH118" s="16">
        <f t="shared" si="33"/>
        <v>6964.8882014887513</v>
      </c>
      <c r="AI118" s="16">
        <f t="shared" si="32"/>
        <v>7.0676291572835392E-2</v>
      </c>
      <c r="AM118" s="15">
        <f t="shared" si="18"/>
        <v>0</v>
      </c>
      <c r="AN118">
        <f t="shared" si="35"/>
        <v>8.25</v>
      </c>
      <c r="AO118" s="16">
        <f t="shared" si="34"/>
        <v>1.8773434793848176E-42</v>
      </c>
      <c r="AP118" s="16">
        <f t="shared" si="27"/>
        <v>1.8773434793848175E-30</v>
      </c>
      <c r="AQ118" s="16">
        <f t="shared" si="31"/>
        <v>3.6687303239874637E+17</v>
      </c>
      <c r="AR118" s="16">
        <f t="shared" si="24"/>
        <v>89.769696969696966</v>
      </c>
    </row>
    <row r="119" spans="1:44" x14ac:dyDescent="0.3">
      <c r="AI119" s="16"/>
      <c r="AM119" s="15"/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505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2026-02-08T05:37:30Z</dcterms:modified>
</cp:coreProperties>
</file>